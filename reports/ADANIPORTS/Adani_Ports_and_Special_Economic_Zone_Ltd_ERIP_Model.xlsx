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Model info" sheetId="2" state="visible" r:id="rId4"/>
    <sheet name="Summary" sheetId="3" state="visible" r:id="rId5"/>
    <sheet name="Scenarios" sheetId="4" state="visible" r:id="rId6"/>
    <sheet name="Drivers" sheetId="5" state="visible" r:id="rId7"/>
    <sheet name="Income Statement" sheetId="6" state="visible" r:id="rId8"/>
    <sheet name="Balance Sheet" sheetId="7" state="visible" r:id="rId9"/>
    <sheet name="Cash Flow" sheetId="8" state="visible" r:id="rId10"/>
    <sheet name="Schedules" sheetId="9" state="visible" r:id="rId11"/>
    <sheet name="WACC" sheetId="10" state="visible" r:id="rId12"/>
    <sheet name="DCF" sheetId="11" state="visible" r:id="rId13"/>
    <sheet name="Sensitivity" sheetId="12" state="visible" r:id="rId14"/>
    <sheet name="Checks" sheetId="13" state="visible" r:id="rId15"/>
  </sheets>
  <definedNames>
    <definedName function="false" hidden="false" localSheetId="6" name="_xlnm.Print_Titles" vbProcedure="false">'Balance Sheet'!$A:$A,'Balance Sheet'!$1:$4</definedName>
    <definedName function="false" hidden="false" localSheetId="7" name="_xlnm.Print_Titles" vbProcedure="false">'Cash Flow'!$A:$A,'Cash Flow'!$1:$4</definedName>
    <definedName function="false" hidden="false" localSheetId="12" name="_xlnm.Print_Titles" vbProcedure="false">Checks!$A:$A,Checks!$1:$4</definedName>
    <definedName function="false" hidden="false" localSheetId="10" name="_xlnm.Print_Titles" vbProcedure="false">DCF!$A:$A,DCF!$1:$4</definedName>
    <definedName function="false" hidden="false" localSheetId="4" name="_xlnm.Print_Titles" vbProcedure="false">Drivers!$A:$A,Drivers!$1:$4</definedName>
    <definedName function="false" hidden="false" localSheetId="5" name="_xlnm.Print_Titles" vbProcedure="false">'Income Statement'!$A:$A,'Income Statement'!$1:$4</definedName>
    <definedName function="false" hidden="false" localSheetId="3" name="_xlnm.Print_Titles" vbProcedure="false">Scenarios!$A:$A,Scenarios!$1:$4</definedName>
    <definedName function="false" hidden="false" localSheetId="8" name="_xlnm.Print_Titles" vbProcedure="false">Schedules!$A:$A,Schedules!$1:$4</definedName>
    <definedName function="false" hidden="false" localSheetId="11" name="_xlnm.Print_Titles" vbProcedure="false">Sensitivity!$A:$A,Sensitivity!$1:$4</definedName>
    <definedName function="false" hidden="false" localSheetId="2" name="_xlnm.Print_Titles" vbProcedure="false">Summary!$A:$A,Summary!$1:$4</definedName>
    <definedName function="false" hidden="false" localSheetId="2" name="_xlnm.Print_Titles" vbProcedure="false">Summary!$1:$4,Summary!$A:$A</definedName>
    <definedName function="false" hidden="false" localSheetId="3" name="_xlnm.Print_Titles" vbProcedure="false">Scenarios!$1:$4,Scenarios!$A:$A</definedName>
    <definedName function="false" hidden="false" localSheetId="4" name="_xlnm.Print_Titles" vbProcedure="false">Drivers!$1:$4,Drivers!$A:$A</definedName>
    <definedName function="false" hidden="false" localSheetId="5" name="_xlnm.Print_Titles" vbProcedure="false">'Income Statement'!$1:$4,'Income Statement'!$A:$A</definedName>
    <definedName function="false" hidden="false" localSheetId="6" name="_xlnm.Print_Titles" vbProcedure="false">'Balance Sheet'!$1:$4,'Balance Sheet'!$A:$A</definedName>
    <definedName function="false" hidden="false" localSheetId="7" name="_xlnm.Print_Titles" vbProcedure="false">'Cash Flow'!$1:$4,'Cash Flow'!$A:$A</definedName>
    <definedName function="false" hidden="false" localSheetId="8" name="_xlnm.Print_Titles" vbProcedure="false">Schedules!$1:$4,Schedules!$A:$A</definedName>
    <definedName function="false" hidden="false" localSheetId="10" name="_xlnm.Print_Titles" vbProcedure="false">DCF!$1:$4,DCF!$A:$A</definedName>
    <definedName function="false" hidden="false" localSheetId="11" name="_xlnm.Print_Titles" vbProcedure="false">Sensitivity!$1:$4,Sensitivity!$A:$A</definedName>
    <definedName function="false" hidden="false" localSheetId="12" name="_xlnm.Print_Titles" vbProcedure="false">Checks!$1:$4,Checks!$A:$A</definedName>
  </definedNames>
  <calcPr iterateCount="1000" refMode="A1" iterate="true" iterateDelta="1E-007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<sst xmlns="http://schemas.openxmlformats.org/spreadsheetml/2006/main" count="546" uniqueCount="346">
  <si>
    <t xml:space="preserve">Adani Ports and Special Economic Zone Ltd - Dashboard</t>
  </si>
  <si>
    <t xml:space="preserve">Every figure links into the model: change an input or the scenario switch and this page follows</t>
  </si>
  <si>
    <t xml:space="preserve">The call</t>
  </si>
  <si>
    <t xml:space="preserve">Value</t>
  </si>
  <si>
    <t xml:space="preserve">INR Cr</t>
  </si>
  <si>
    <t xml:space="preserve">Mar-26</t>
  </si>
  <si>
    <t xml:space="preserve">Mar-27E</t>
  </si>
  <si>
    <t xml:space="preserve">Mar-28E</t>
  </si>
  <si>
    <t xml:space="preserve">    Rating</t>
  </si>
  <si>
    <t xml:space="preserve">Revenue</t>
  </si>
  <si>
    <t xml:space="preserve">    Target price (INR)</t>
  </si>
  <si>
    <t xml:space="preserve">EBITDA</t>
  </si>
  <si>
    <t xml:space="preserve">    Current market price (INR)</t>
  </si>
  <si>
    <t xml:space="preserve">Profit after tax</t>
  </si>
  <si>
    <t xml:space="preserve">    Upside / (downside) to target</t>
  </si>
  <si>
    <t xml:space="preserve">EPS (INR)</t>
  </si>
  <si>
    <t xml:space="preserve">    Target basis</t>
  </si>
  <si>
    <t xml:space="preserve">EBITDA margin</t>
  </si>
  <si>
    <t xml:space="preserve">    Target horizon (months)</t>
  </si>
  <si>
    <t xml:space="preserve">    Active scenario</t>
  </si>
  <si>
    <t xml:space="preserve">Valuation, active scenario</t>
  </si>
  <si>
    <t xml:space="preserve">    Perpetuity DCF value per share (INR)</t>
  </si>
  <si>
    <t xml:space="preserve">    WACC</t>
  </si>
  <si>
    <t xml:space="preserve">    Terminal growth</t>
  </si>
  <si>
    <t xml:space="preserve">    Return on new capital in perpetuity (RONIC)</t>
  </si>
  <si>
    <t xml:space="preserve">    Terminal value as % of EV</t>
  </si>
  <si>
    <t xml:space="preserve">    Enterprise value (INR Cr)</t>
  </si>
  <si>
    <t xml:space="preserve">    Equity value (INR Cr)</t>
  </si>
  <si>
    <t xml:space="preserve">Value per share by method</t>
  </si>
  <si>
    <t xml:space="preserve">INR / share</t>
  </si>
  <si>
    <t xml:space="preserve">    Base case, perpetuity DCF</t>
  </si>
  <si>
    <t xml:space="preserve">    Bull case, perpetuity DCF</t>
  </si>
  <si>
    <t xml:space="preserve">    Bear case, perpetuity DCF</t>
  </si>
  <si>
    <t xml:space="preserve">    Probability-weighted, perpetuity</t>
  </si>
  <si>
    <t xml:space="preserve">    DCF at the cross-check exit multiple</t>
  </si>
  <si>
    <t xml:space="preserve">    DCF at the alternative exit multiple</t>
  </si>
  <si>
    <t xml:space="preserve">    Current market price</t>
  </si>
  <si>
    <t xml:space="preserve">Scenario values are recorded when each case is calculated; switch Scenarios!B4 to reproduce one.</t>
  </si>
  <si>
    <t xml:space="preserve">Adani Ports and Special Economic Zone Ltd - three-statement model</t>
  </si>
  <si>
    <t xml:space="preserve">Currency</t>
  </si>
  <si>
    <t xml:space="preserve">INR cr</t>
  </si>
  <si>
    <t xml:space="preserve">Sector</t>
  </si>
  <si>
    <t xml:space="preserve">realestate</t>
  </si>
  <si>
    <t xml:space="preserve">History</t>
  </si>
  <si>
    <t xml:space="preserve">Mar-17 to Mar-26  (10 years)</t>
  </si>
  <si>
    <t xml:space="preserve">Forecast</t>
  </si>
  <si>
    <t xml:space="preserve">Mar-27E to Mar-31E  (5 years)</t>
  </si>
  <si>
    <t xml:space="preserve">Depreciation basis</t>
  </si>
  <si>
    <t xml:space="preserve">net_block</t>
  </si>
  <si>
    <t xml:space="preserve">Circular solve</t>
  </si>
  <si>
    <t xml:space="preserve">5 passes, residual 0</t>
  </si>
  <si>
    <t xml:space="preserve">Checks</t>
  </si>
  <si>
    <t xml:space="preserve">ALL PASS</t>
  </si>
  <si>
    <t xml:space="preserve">Integrity checks</t>
  </si>
  <si>
    <t xml:space="preserve">OK   Total assets less total liabilities and equity (forecast)</t>
  </si>
  <si>
    <t xml:space="preserve">blocking</t>
  </si>
  <si>
    <t xml:space="preserve">Mar-29E</t>
  </si>
  <si>
    <t xml:space="preserve">OK   Balance sheet cash less cash flow closing cash (forecast)</t>
  </si>
  <si>
    <t xml:space="preserve">Mar-31E</t>
  </si>
  <si>
    <t xml:space="preserve">OK   Reserves roll-forward residual (forecast)</t>
  </si>
  <si>
    <t xml:space="preserve">OK   Net block roll-forward residual (forecast)</t>
  </si>
  <si>
    <t xml:space="preserve">FAIL Reserves roll-forward residual (history)</t>
  </si>
  <si>
    <t xml:space="preserve">advisory</t>
  </si>
  <si>
    <t xml:space="preserve">OK   Net block roll-forward residual (history)</t>
  </si>
  <si>
    <t xml:space="preserve">Mar-21</t>
  </si>
  <si>
    <t xml:space="preserve">OK   Reconstructed CFO close to reported CFO</t>
  </si>
  <si>
    <t xml:space="preserve">Mar-22</t>
  </si>
  <si>
    <t xml:space="preserve">OK   Cash less the minimum cash balance</t>
  </si>
  <si>
    <t xml:space="preserve">OK   Revolver balance</t>
  </si>
  <si>
    <t xml:space="preserve">OK   Net block</t>
  </si>
  <si>
    <t xml:space="preserve">OK   Shareholders' equity</t>
  </si>
  <si>
    <t xml:space="preserve">OK   Historical balance sheet ties to the source</t>
  </si>
  <si>
    <t xml:space="preserve">OK   Effective tax rate inside a plausible band</t>
  </si>
  <si>
    <t xml:space="preserve">-</t>
  </si>
  <si>
    <t xml:space="preserve">OK   EBITDA margin inside a plausible band</t>
  </si>
  <si>
    <t xml:space="preserve">OK   Revenue growth inside a plausible band</t>
  </si>
  <si>
    <t xml:space="preserve">OK   Dividend payout inside a plausible band</t>
  </si>
  <si>
    <t xml:space="preserve">Notes</t>
  </si>
  <si>
    <t xml:space="preserve">- overrides.actuals.payables: period '_page' is not in the historical range, ignored</t>
  </si>
  <si>
    <t xml:space="preserve">- trade payables supplied from the annual report were netted out of other liabilities so the balance sheet still ties</t>
  </si>
  <si>
    <t xml:space="preserve">- no gross margin in assumptions.json: set equal to the EBITDA margin, which zeroes the opex line</t>
  </si>
  <si>
    <t xml:space="preserve">- built against modeling strategy: revenue_model=segment_buildup, modelability=AMBER, decision=APPROVED</t>
  </si>
  <si>
    <t xml:space="preserve">- block 'derived' not found in the export</t>
  </si>
  <si>
    <t xml:space="preserve">- block 'price' not found in the export</t>
  </si>
  <si>
    <t xml:space="preserve">- held at the trailing historical average (no value in assumptions.json or overrides): other_income_pct, dep_pct_nb, cwip_pct_sales, other_ca_pct, other_liab_pct, interest_income_rate, debt_growth, term_debt_repay, equity_issued, payout_ratio, min_cash</t>
  </si>
  <si>
    <t xml:space="preserve">- not in the source at all, held at zero for every year: exceptional</t>
  </si>
  <si>
    <t xml:space="preserve">- no actual for 'capex' in Mar-17: set to zero</t>
  </si>
  <si>
    <t xml:space="preserve">Valuation</t>
  </si>
  <si>
    <t xml:space="preserve">- Scenarios!B4 selects the case. The switched driver rows on Drivers are green links to it.</t>
  </si>
  <si>
    <t xml:space="preserve">- Dashboard shows the call; every cell links into the model. Sheets are protected without a password so formulas are not overwritten by accident: blue input cells stay editable.</t>
  </si>
  <si>
    <t xml:space="preserve">- DCF discounts the free cash flow built from these statements; Sensitivity re-prices every cell.</t>
  </si>
  <si>
    <t xml:space="preserve">- Blue = input, black = formula, green = link to another sheet. Iterative calculation is on (interest on average debt is circular).</t>
  </si>
  <si>
    <t xml:space="preserve">- Scenarios 'base/bull/bear' were each built by financial-model and valued by model.py; the Scenarios sheet checks this workbook against those values.</t>
  </si>
  <si>
    <t xml:space="preserve">Explained check failures</t>
  </si>
  <si>
    <t xml:space="preserve">- EXPLAINED  Reserves roll-forward residual (history) (Mar-26, INR 22,583 Cr): Share-funded NQXT acquisition (December 2025): 143,820,153 shares issued to the promoter-group vendor. Share capital rose INR 28.76 Cr (14.38 Cr shares at INR 2 face value) and the premium, about INR 1,560 a share, went to reserves. Screener records no equity issuance. Moves the valuation: no. Source: kb/annual_report/pages/page_0659.md (Consolidated Balance Sheet: Equity Share Capital 460.79 vs 432.03, AR p.660); data/financials.json</t>
  </si>
  <si>
    <t xml:space="preserve">Adani Ports and Special Economic Zone Ltd - Summary</t>
  </si>
  <si>
    <t xml:space="preserve">INR cr unless stated  |  built 2026-10-14  |  blue = input, black = formula, green = link to another sheet</t>
  </si>
  <si>
    <t xml:space="preserve">Actuals    </t>
  </si>
  <si>
    <t xml:space="preserve">Mar-17</t>
  </si>
  <si>
    <t xml:space="preserve">Mar-18</t>
  </si>
  <si>
    <t xml:space="preserve">Mar-19</t>
  </si>
  <si>
    <t xml:space="preserve">Mar-20</t>
  </si>
  <si>
    <t xml:space="preserve">Mar-23</t>
  </si>
  <si>
    <t xml:space="preserve">Mar-24</t>
  </si>
  <si>
    <t xml:space="preserve">Mar-25</t>
  </si>
  <si>
    <t xml:space="preserve">Mar-30E</t>
  </si>
  <si>
    <t xml:space="preserve">Operating performance</t>
  </si>
  <si>
    <t xml:space="preserve">    Revenue growth</t>
  </si>
  <si>
    <t xml:space="preserve">    EBITDA margin</t>
  </si>
  <si>
    <t xml:space="preserve">EBIT</t>
  </si>
  <si>
    <t xml:space="preserve">Earnings per share</t>
  </si>
  <si>
    <t xml:space="preserve">Cash generation</t>
  </si>
  <si>
    <t xml:space="preserve">Free cash flow to the firm</t>
  </si>
  <si>
    <t xml:space="preserve">Free cash flow to equity</t>
  </si>
  <si>
    <t xml:space="preserve">    EBITDA to FCFF conversion</t>
  </si>
  <si>
    <t xml:space="preserve">Leverage and returns</t>
  </si>
  <si>
    <t xml:space="preserve">Net debt</t>
  </si>
  <si>
    <t xml:space="preserve">    Net debt / EBITDA</t>
  </si>
  <si>
    <t xml:space="preserve">    EBIT / interest expense</t>
  </si>
  <si>
    <t xml:space="preserve">Capital employed</t>
  </si>
  <si>
    <t xml:space="preserve">    Post-tax ROCE</t>
  </si>
  <si>
    <t xml:space="preserve">    Return on equity</t>
  </si>
  <si>
    <t xml:space="preserve">Adani Ports and Special Economic Zone Ltd - Scenarios</t>
  </si>
  <si>
    <t xml:space="preserve">Change the yellow cell: every switched driver, the statements, the checks and the DCF follow</t>
  </si>
  <si>
    <t xml:space="preserve">Active scenario  (1 Base, 2 Bull, 3 Bear)</t>
  </si>
  <si>
    <t xml:space="preserve">Active case</t>
  </si>
  <si>
    <t xml:space="preserve">INR cr unless stated</t>
  </si>
  <si>
    <t xml:space="preserve">Base case inputs  (probability 50%)</t>
  </si>
  <si>
    <t xml:space="preserve">    Capex (% sales)</t>
  </si>
  <si>
    <t xml:space="preserve">    Effective tax rate</t>
  </si>
  <si>
    <t xml:space="preserve">    Probability</t>
  </si>
  <si>
    <t xml:space="preserve">The assumption set above as recommended.</t>
  </si>
  <si>
    <t xml:space="preserve">Bull case inputs  (probability 25%)</t>
  </si>
  <si>
    <t xml:space="preserve">Management delivers close to Ambition 2031: the 1bn-tonne capacity target lands on time, Colombo and Vizhinjam phase 2 ramp faster than modelled, the SEZ tax shield persists longer, and capex comes in at the bottom of the guided range. Mundra concession renewal is granted on existing terms.</t>
  </si>
  <si>
    <t xml:space="preserve">Bear case inputs  (probability 25%)</t>
  </si>
  <si>
    <t xml:space="preserve">The volume-miss pattern continues and worsens: domestic cargo grows mid single digit rather than high single digit, the international book stays sub-scale at NQXT's lower realisation, and capex overshoots guidance as it did by 65% in FY24 and 33% in FY26. The SEZ tax shield unwinds to statutory. Terminal growth cut to 3.5% to reflect unresolved Mundra concession renewal beyond February 2031.</t>
  </si>
  <si>
    <t xml:space="preserve">Active path  (feeds the Drivers sheet)</t>
  </si>
  <si>
    <t xml:space="preserve">Scenario values  (INR per share; recorded with the selector at each case)</t>
  </si>
  <si>
    <t xml:space="preserve">Case</t>
  </si>
  <si>
    <t xml:space="preserve">Prob.</t>
  </si>
  <si>
    <t xml:space="preserve">Weighted</t>
  </si>
  <si>
    <t xml:space="preserve">    Base</t>
  </si>
  <si>
    <t xml:space="preserve">    Bull</t>
  </si>
  <si>
    <t xml:space="preserve">    Bear</t>
  </si>
  <si>
    <t xml:space="preserve">Probability-weighted value</t>
  </si>
  <si>
    <t xml:space="preserve">Live value, active case (DCF sheet)</t>
  </si>
  <si>
    <t xml:space="preserve">Recorded value, active case</t>
  </si>
  <si>
    <t xml:space="preserve">Difference (must be 0)</t>
  </si>
  <si>
    <t xml:space="preserve">Adani Ports and Special Economic Zone Ltd - Drivers</t>
  </si>
  <si>
    <t xml:space="preserve">Growth and margins</t>
  </si>
  <si>
    <t xml:space="preserve">    Gross margin</t>
  </si>
  <si>
    <t xml:space="preserve">    Other income (% sales)</t>
  </si>
  <si>
    <t xml:space="preserve">Capital expenditure and depreciation</t>
  </si>
  <si>
    <t xml:space="preserve">    Depreciation (% opening net block)</t>
  </si>
  <si>
    <t xml:space="preserve">    Depreciation (% sales)</t>
  </si>
  <si>
    <t xml:space="preserve">    CWIP (% sales)</t>
  </si>
  <si>
    <t xml:space="preserve">Working capital</t>
  </si>
  <si>
    <t xml:space="preserve">    Receivable days</t>
  </si>
  <si>
    <t xml:space="preserve">    Inventory days</t>
  </si>
  <si>
    <t xml:space="preserve">    Payable days</t>
  </si>
  <si>
    <t xml:space="preserve">    Other current assets (% sales)</t>
  </si>
  <si>
    <t xml:space="preserve">    Other liabilities (% sales)</t>
  </si>
  <si>
    <t xml:space="preserve">Financing, tax and distribution</t>
  </si>
  <si>
    <t xml:space="preserve">    Interest rate on debt</t>
  </si>
  <si>
    <t xml:space="preserve">    Yield on cash and investments</t>
  </si>
  <si>
    <t xml:space="preserve">    Term debt growth</t>
  </si>
  <si>
    <t xml:space="preserve">    Scheduled debt repayment</t>
  </si>
  <si>
    <t xml:space="preserve">    Equity issued</t>
  </si>
  <si>
    <t xml:space="preserve">    Dividend payout</t>
  </si>
  <si>
    <t xml:space="preserve">    Minimum cash balance</t>
  </si>
  <si>
    <t xml:space="preserve">Adani Ports and Special Economic Zone Ltd - Income Statement</t>
  </si>
  <si>
    <t xml:space="preserve">Income statement</t>
  </si>
  <si>
    <t xml:space="preserve">    Cost of goods sold</t>
  </si>
  <si>
    <t xml:space="preserve">Gross profit</t>
  </si>
  <si>
    <t xml:space="preserve">    Operating expenses</t>
  </si>
  <si>
    <t xml:space="preserve">    Depreciation and amortisation</t>
  </si>
  <si>
    <t xml:space="preserve">    Other income</t>
  </si>
  <si>
    <t xml:space="preserve">    Interest expense</t>
  </si>
  <si>
    <t xml:space="preserve">    Exceptional items</t>
  </si>
  <si>
    <t xml:space="preserve">Profit before tax</t>
  </si>
  <si>
    <t xml:space="preserve">    Tax</t>
  </si>
  <si>
    <t xml:space="preserve">Adani Ports and Special Economic Zone Ltd - Balance Sheet</t>
  </si>
  <si>
    <t xml:space="preserve">Assets</t>
  </si>
  <si>
    <t xml:space="preserve">    Cash and bank</t>
  </si>
  <si>
    <t xml:space="preserve">    Trade receivables</t>
  </si>
  <si>
    <t xml:space="preserve">    Inventories</t>
  </si>
  <si>
    <t xml:space="preserve">    Other current assets</t>
  </si>
  <si>
    <t xml:space="preserve">    Net fixed assets</t>
  </si>
  <si>
    <t xml:space="preserve">    Capital work in progress</t>
  </si>
  <si>
    <t xml:space="preserve">    Investments</t>
  </si>
  <si>
    <t xml:space="preserve">Total assets</t>
  </si>
  <si>
    <t xml:space="preserve">Liabilities and equity</t>
  </si>
  <si>
    <t xml:space="preserve">    Share capital</t>
  </si>
  <si>
    <t xml:space="preserve">    Reserves and surplus</t>
  </si>
  <si>
    <t xml:space="preserve">    Term borrowings</t>
  </si>
  <si>
    <t xml:space="preserve">    Revolver / short-term plug</t>
  </si>
  <si>
    <t xml:space="preserve">    Total debt</t>
  </si>
  <si>
    <t xml:space="preserve">    Trade payables</t>
  </si>
  <si>
    <t xml:space="preserve">    Other liabilities</t>
  </si>
  <si>
    <t xml:space="preserve">Total liabilities and equity</t>
  </si>
  <si>
    <t xml:space="preserve">Adani Ports and Special Economic Zone Ltd - Cash Flow</t>
  </si>
  <si>
    <t xml:space="preserve">Operating</t>
  </si>
  <si>
    <t xml:space="preserve">    Profit after tax</t>
  </si>
  <si>
    <t xml:space="preserve">    (Increase)/decrease in net operating assets</t>
  </si>
  <si>
    <t xml:space="preserve">Cash from operations</t>
  </si>
  <si>
    <t xml:space="preserve">Investing</t>
  </si>
  <si>
    <t xml:space="preserve">    Capital expenditure</t>
  </si>
  <si>
    <t xml:space="preserve">Cash from investing</t>
  </si>
  <si>
    <t xml:space="preserve">Financing</t>
  </si>
  <si>
    <t xml:space="preserve">    Term debt drawn/(repaid)</t>
  </si>
  <si>
    <t xml:space="preserve">    Revolver drawn/(repaid)</t>
  </si>
  <si>
    <t xml:space="preserve">    Dividends paid</t>
  </si>
  <si>
    <t xml:space="preserve">Cash from financing</t>
  </si>
  <si>
    <t xml:space="preserve">Cash reconciliation</t>
  </si>
  <si>
    <t xml:space="preserve">Net change in cash</t>
  </si>
  <si>
    <t xml:space="preserve">    Opening cash</t>
  </si>
  <si>
    <t xml:space="preserve">Closing cash</t>
  </si>
  <si>
    <t xml:space="preserve">Reported cash flow (history only)</t>
  </si>
  <si>
    <t xml:space="preserve">    Reported cash from operations</t>
  </si>
  <si>
    <t xml:space="preserve">    Reported cash from investing</t>
  </si>
  <si>
    <t xml:space="preserve">    Reported cash from financing</t>
  </si>
  <si>
    <t xml:space="preserve">    Reconstructed less reported CFO</t>
  </si>
  <si>
    <t xml:space="preserve">Adani Ports and Special Economic Zone Ltd - Schedules</t>
  </si>
  <si>
    <t xml:space="preserve">Fixed assets</t>
  </si>
  <si>
    <t xml:space="preserve">    Opening net block</t>
  </si>
  <si>
    <t xml:space="preserve">    Depreciation charge</t>
  </si>
  <si>
    <t xml:space="preserve">Closing net block</t>
  </si>
  <si>
    <t xml:space="preserve">Net operating assets</t>
  </si>
  <si>
    <t xml:space="preserve">    Change in net operating assets</t>
  </si>
  <si>
    <t xml:space="preserve">    Net operating assets (days of sales)</t>
  </si>
  <si>
    <t xml:space="preserve">Debt, revolver and interest</t>
  </si>
  <si>
    <t xml:space="preserve">    Opening term debt</t>
  </si>
  <si>
    <t xml:space="preserve">    Financing flows before the revolver</t>
  </si>
  <si>
    <t xml:space="preserve">    Cash before the revolver</t>
  </si>
  <si>
    <t xml:space="preserve">    Revolver drawn</t>
  </si>
  <si>
    <t xml:space="preserve">    Revolver repaid</t>
  </si>
  <si>
    <t xml:space="preserve">    Average total debt</t>
  </si>
  <si>
    <t xml:space="preserve">Equity and shareholders</t>
  </si>
  <si>
    <t xml:space="preserve">    Dividends declared</t>
  </si>
  <si>
    <t xml:space="preserve">    Shares outstanding</t>
  </si>
  <si>
    <t xml:space="preserve">Shareholders' equity</t>
  </si>
  <si>
    <t xml:space="preserve">    Book value per share</t>
  </si>
  <si>
    <t xml:space="preserve">Adani Ports and Special Economic Zone Ltd - Cost of capital</t>
  </si>
  <si>
    <t xml:space="preserve">CAPM cost of equity, post-tax cost of debt, target weights</t>
  </si>
  <si>
    <t xml:space="preserve">Basis</t>
  </si>
  <si>
    <t xml:space="preserve">Cost of equity</t>
  </si>
  <si>
    <t xml:space="preserve">    Risk-free rate</t>
  </si>
  <si>
    <t xml:space="preserve">10-year G-sec yield (assumptions.json)</t>
  </si>
  <si>
    <t xml:space="preserve">    Equity risk premium</t>
  </si>
  <si>
    <t xml:space="preserve">assumptions.json</t>
  </si>
  <si>
    <t xml:space="preserve">    Raw beta</t>
  </si>
  <si>
    <t xml:space="preserve">    Blume-adjusted beta (0.67 x beta + 0.33)</t>
  </si>
  <si>
    <t xml:space="preserve">Cost of equity (CAPM)</t>
  </si>
  <si>
    <t xml:space="preserve">Cost of debt and weights</t>
  </si>
  <si>
    <t xml:space="preserve">    Pre-tax cost of debt</t>
  </si>
  <si>
    <t xml:space="preserve">    Tax rate (active scenario, first forecast year)</t>
  </si>
  <si>
    <t xml:space="preserve">Scenarios sheet</t>
  </si>
  <si>
    <t xml:space="preserve">    Post-tax cost of debt</t>
  </si>
  <si>
    <t xml:space="preserve">    Target debt weight</t>
  </si>
  <si>
    <t xml:space="preserve">WACC</t>
  </si>
  <si>
    <t xml:space="preserve">    Terminal growth (active scenario)</t>
  </si>
  <si>
    <t xml:space="preserve">    Terminal growth below WACC</t>
  </si>
  <si>
    <t xml:space="preserve">Adani Ports and Special Economic Zone Ltd - DCF</t>
  </si>
  <si>
    <t xml:space="preserve">FCFF from the linked statements; stub-period discounting from the balance-sheet date; exit-multiple target</t>
  </si>
  <si>
    <t xml:space="preserve">    Tax rate</t>
  </si>
  <si>
    <t xml:space="preserve">    NOPAT  (EBIT x (1 - tax rate))</t>
  </si>
  <si>
    <t xml:space="preserve">    Add: depreciation and amortisation</t>
  </si>
  <si>
    <t xml:space="preserve">    Less: capital expenditure</t>
  </si>
  <si>
    <t xml:space="preserve">    Less: increase in net operating assets</t>
  </si>
  <si>
    <t xml:space="preserve">Timing and discounting</t>
  </si>
  <si>
    <t xml:space="preserve">    Balance-sheet date (date of the net debt)</t>
  </si>
  <si>
    <t xml:space="preserve">Cash flows before it are inside net debt</t>
  </si>
  <si>
    <t xml:space="preserve">    First forecast year ends</t>
  </si>
  <si>
    <t xml:space="preserve">    Valuation date (cover)</t>
  </si>
  <si>
    <t xml:space="preserve">    Share of the first year counted (stub)</t>
  </si>
  <si>
    <t xml:space="preserve">    Share of year counted</t>
  </si>
  <si>
    <t xml:space="preserve">    Discount period (years from balance-sheet date, mid-year)</t>
  </si>
  <si>
    <t xml:space="preserve">    Discount factor</t>
  </si>
  <si>
    <t xml:space="preserve">    Present value of FCFF</t>
  </si>
  <si>
    <t xml:space="preserve">Valuation: perpetuity</t>
  </si>
  <si>
    <t xml:space="preserve">    Return on new invested capital in perpetuity (RONIC)</t>
  </si>
  <si>
    <t xml:space="preserve">assumptions.json terminal_ronic</t>
  </si>
  <si>
    <t xml:space="preserve">    Terminal reinvestment rate  (g / RONIC, share of NOPAT)</t>
  </si>
  <si>
    <t xml:space="preserve">    Sum of PV of FCFF</t>
  </si>
  <si>
    <t xml:space="preserve">    Terminal value  (NOPAT N x (1 + g) x (1 - g / RONIC) / (WACC - g))</t>
  </si>
  <si>
    <t xml:space="preserve">    PV of terminal value  (at the final cash flow's period)</t>
  </si>
  <si>
    <t xml:space="preserve">Enterprise value</t>
  </si>
  <si>
    <t xml:space="preserve">    Net debt at the balance-sheet date  (negative = net cash)</t>
  </si>
  <si>
    <t xml:space="preserve">assumptions.json net_debt, as at the balance-sheet date</t>
  </si>
  <si>
    <t xml:space="preserve">    Lease liabilities (Ind AS 116, debt-like)</t>
  </si>
  <si>
    <t xml:space="preserve">assumptions.json lease_liabilities (annual report)</t>
  </si>
  <si>
    <t xml:space="preserve">    Minority interest (book value)</t>
  </si>
  <si>
    <t xml:space="preserve">assumptions.json minority_interest (annual report)</t>
  </si>
  <si>
    <t xml:space="preserve">    Non-operating assets</t>
  </si>
  <si>
    <t xml:space="preserve">Treasury investments and stakes not in FCFF</t>
  </si>
  <si>
    <t xml:space="preserve">    Equity value at the balance-sheet date</t>
  </si>
  <si>
    <t xml:space="preserve">    Cost of equity</t>
  </si>
  <si>
    <t xml:space="preserve">    Roll-forward to the valuation date  ((1 + ke) ^ years)</t>
  </si>
  <si>
    <t xml:space="preserve">Equity value at the valuation date</t>
  </si>
  <si>
    <t xml:space="preserve">    Shares outstanding (Cr)</t>
  </si>
  <si>
    <t xml:space="preserve">Value per share, perpetuity (INR)</t>
  </si>
  <si>
    <t xml:space="preserve">NSE close, 7 Aug 2026 (cover date)</t>
  </si>
  <si>
    <t xml:space="preserve">    Upside / (downside)</t>
  </si>
  <si>
    <t xml:space="preserve">Target price (12-month forward)</t>
  </si>
  <si>
    <t xml:space="preserve">    Target method  (Perpetuity DCF or Exit multiple)</t>
  </si>
  <si>
    <t xml:space="preserve">Perpetuity DCF</t>
  </si>
  <si>
    <t xml:space="preserve">assumptions.json target_policy</t>
  </si>
  <si>
    <t xml:space="preserve">    Horizon (months)</t>
  </si>
  <si>
    <t xml:space="preserve">    Value per share today, on the target method</t>
  </si>
  <si>
    <t xml:space="preserve">    Dividend per share, next 12 months (first forecast year)</t>
  </si>
  <si>
    <t xml:space="preserve">Schedules: dividends declared / shares, first forecast year</t>
  </si>
  <si>
    <t xml:space="preserve">    Forward value  (value x (1 + ke)^(h/12) - DPS x h/12)</t>
  </si>
  <si>
    <t xml:space="preserve">    Rounding step (INR)</t>
  </si>
  <si>
    <t xml:space="preserve">Target price (INR)</t>
  </si>
  <si>
    <t xml:space="preserve">    BUY above</t>
  </si>
  <si>
    <t xml:space="preserve">House rating policy</t>
  </si>
  <si>
    <t xml:space="preserve">    SELL below</t>
  </si>
  <si>
    <t xml:space="preserve">Rating</t>
  </si>
  <si>
    <t xml:space="preserve">Exit-multiple cross-check (not the target unless chosen above)</t>
  </si>
  <si>
    <t xml:space="preserve">    Terminal-year EBITDA</t>
  </si>
  <si>
    <t xml:space="preserve">    Exit EV/EBITDA implied by the perpetuity TV</t>
  </si>
  <si>
    <t xml:space="preserve">    Exit multiple</t>
  </si>
  <si>
    <t xml:space="preserve">    Terminal value at exit multiple</t>
  </si>
  <si>
    <t xml:space="preserve">    PV of exit terminal value</t>
  </si>
  <si>
    <t xml:space="preserve">Value per share at exit multiple (INR)</t>
  </si>
  <si>
    <t xml:space="preserve">    Alternative exit multiple</t>
  </si>
  <si>
    <t xml:space="preserve">Cross-check (assumptions.json exit_multiple)</t>
  </si>
  <si>
    <t xml:space="preserve">    Value per share at alternative exit (INR)</t>
  </si>
  <si>
    <t xml:space="preserve">Adani Ports and Special Economic Zone Ltd - Sensitivity</t>
  </si>
  <si>
    <t xml:space="preserve">Value per share (INR); every cell recomputes the DCF from the FCFF row</t>
  </si>
  <si>
    <t xml:space="preserve">Step (WACC and growth)</t>
  </si>
  <si>
    <t xml:space="preserve">Step (exit multiple)</t>
  </si>
  <si>
    <t xml:space="preserve">WACC x terminal growth (perpetuity value per share)</t>
  </si>
  <si>
    <t xml:space="preserve">WACC  ↓  /  terminal growth  →</t>
  </si>
  <si>
    <t xml:space="preserve">WACC x exit multiple (value per share at exit)</t>
  </si>
  <si>
    <t xml:space="preserve">WACC  ↓  /  exit EV/EBITDA  →</t>
  </si>
  <si>
    <t xml:space="preserve">Adani Ports and Special Economic Zone Ltd - Checks</t>
  </si>
  <si>
    <t xml:space="preserve">Integrity checks - every one of these must read zero</t>
  </si>
  <si>
    <t xml:space="preserve">Total assets less total liabilities and equity</t>
  </si>
  <si>
    <t xml:space="preserve">Balance sheet cash less cash flow closing cash</t>
  </si>
  <si>
    <t xml:space="preserve">Reserves roll-forward residual</t>
  </si>
  <si>
    <t xml:space="preserve">Net block roll-forward residual</t>
  </si>
  <si>
    <t xml:space="preserve">Sanity checks - these must not go negative</t>
  </si>
  <si>
    <t xml:space="preserve">Cash less the minimum cash balance</t>
  </si>
  <si>
    <t xml:space="preserve">Revolver balance</t>
  </si>
  <si>
    <t xml:space="preserve">Net block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</si>
</sst>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@"/>
    <numFmt numFmtId="166" formatCode="#,##0.0;\(#,##0.0\);\-"/>
    <numFmt numFmtId="167" formatCode="#,##0;\(#,##0\)"/>
    <numFmt numFmtId="168" formatCode="#,##0.00"/>
    <numFmt numFmtId="169" formatCode="0.0%;\(0.0%\)"/>
    <numFmt numFmtId="170" formatCode="0.00"/>
    <numFmt numFmtId="171" formatCode="0"/>
    <numFmt numFmtId="172" formatCode="0.00%"/>
    <numFmt numFmtId="173" formatCode="0.00\x"/>
    <numFmt numFmtId="174" formatCode="0%"/>
    <numFmt numFmtId="175" formatCode="#,##0.0"/>
    <numFmt numFmtId="176" formatCode="#,##0.000;\(#,##0.000\)"/>
    <numFmt numFmtId="177" formatCode="dd\-mmm\-yyyy"/>
    <numFmt numFmtId="178" formatCode="0.000"/>
    <numFmt numFmtId="179" formatCode="0.0000"/>
    <numFmt numFmtId="180" formatCode="0.0\x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008000"/>
      <name val="Cambria"/>
      <family val="0"/>
      <charset val="1"/>
    </font>
    <font>
      <sz val="10"/>
      <name val="Cambria"/>
      <family val="0"/>
      <charset val="1"/>
    </font>
    <font>
      <sz val="10"/>
      <color rgb="FF008000"/>
      <name val="Cambria"/>
      <family val="0"/>
      <charset val="1"/>
    </font>
    <font>
      <sz val="10"/>
      <color rgb="FF000000"/>
      <name val="Cambria"/>
      <family val="0"/>
      <charset val="1"/>
    </font>
    <font>
      <i val="true"/>
      <sz val="8"/>
      <color rgb="FF59595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sz val="10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rgb="FF0000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9F9F9"/>
      </patternFill>
    </fill>
    <fill>
      <patternFill patternType="solid">
        <fgColor rgb="FFFFF7E6"/>
        <bgColor rgb="FFFFFDE7"/>
      </patternFill>
    </fill>
    <fill>
      <patternFill patternType="solid">
        <fgColor rgb="FFFFF2CC"/>
        <bgColor rgb="FFFFF7E6"/>
      </patternFill>
    </fill>
    <fill>
      <patternFill patternType="solid">
        <fgColor rgb="FFFFFDE7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4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3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8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FFF7E6"/>
      <rgbColor rgb="FFFFF2C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DejaVu San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Value per share by method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Dashboard!$A$22:$A$28</c:f>
              <c:strCache>
                <c:ptCount val="7"/>
                <c:pt idx="0">
                  <c:v>    Base case, perpetuity DCF</c:v>
                </c:pt>
                <c:pt idx="1">
                  <c:v>    Bull case, perpetuity DCF</c:v>
                </c:pt>
                <c:pt idx="2">
                  <c:v>    Bear case, perpetuity DCF</c:v>
                </c:pt>
                <c:pt idx="3">
                  <c:v>    Probability-weighted, perpetuity</c:v>
                </c:pt>
                <c:pt idx="4">
                  <c:v>    DCF at the cross-check exit multiple</c:v>
                </c:pt>
                <c:pt idx="5">
                  <c:v>    DCF at the alternative exit multiple</c:v>
                </c:pt>
                <c:pt idx="6">
                  <c:v>    Current market price</c:v>
                </c:pt>
              </c:strCache>
            </c:strRef>
          </c:cat>
          <c:val>
            <c:numRef>
              <c:f>Dashboard!$B$22:$B$28</c:f>
              <c:numCache>
                <c:formatCode>#,##0;\(#,##0\)</c:formatCode>
                <c:ptCount val="7"/>
                <c:pt idx="0">
                  <c:v>513</c:v>
                </c:pt>
                <c:pt idx="1">
                  <c:v>691</c:v>
                </c:pt>
                <c:pt idx="2">
                  <c:v>217</c:v>
                </c:pt>
                <c:pt idx="3">
                  <c:v>483.5</c:v>
                </c:pt>
                <c:pt idx="4">
                  <c:v>1144.63376284308</c:v>
                </c:pt>
                <c:pt idx="5">
                  <c:v>1616.01193166881</c:v>
                </c:pt>
                <c:pt idx="6">
                  <c:v>1695</c:v>
                </c:pt>
              </c:numCache>
            </c:numRef>
          </c:val>
        </c:ser>
        <c:gapWidth val="60"/>
        <c:overlap val="0"/>
        <c:axId val="40744974"/>
        <c:axId val="447348"/>
      </c:barChart>
      <c:catAx>
        <c:axId val="407449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7348"/>
        <c:crosses val="autoZero"/>
        <c:auto val="1"/>
        <c:lblAlgn val="ctr"/>
        <c:lblOffset val="100"/>
        <c:noMultiLvlLbl val="0"/>
      </c:catAx>
      <c:valAx>
        <c:axId val="447348"/>
        <c:scaling>
          <c:orientation val="minMax"/>
        </c:scaling>
        <c:delete val="0"/>
        <c:axPos val="l"/>
        <c:numFmt formatCode="#,##0;\(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7449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11</xdr:row>
      <xdr:rowOff>0</xdr:rowOff>
    </xdr:from>
    <xdr:to>
      <xdr:col>10</xdr:col>
      <xdr:colOff>259920</xdr:colOff>
      <xdr:row>28</xdr:row>
      <xdr:rowOff>181080</xdr:rowOff>
    </xdr:to>
    <xdr:graphicFrame>
      <xdr:nvGraphicFramePr>
        <xdr:cNvPr id="1" name="Chart 1"/>
        <xdr:cNvGraphicFramePr/>
      </xdr:nvGraphicFramePr>
      <xdr:xfrm>
        <a:off x="4440600" y="212544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16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D4" s="5" t="s">
        <v>4</v>
      </c>
      <c r="E4" s="4" t="s">
        <v>5</v>
      </c>
      <c r="F4" s="4" t="s">
        <v>6</v>
      </c>
      <c r="G4" s="4" t="s">
        <v>7</v>
      </c>
    </row>
    <row r="5" customFormat="false" ht="15" hidden="false" customHeight="false" outlineLevel="0" collapsed="false">
      <c r="A5" s="6" t="s">
        <v>8</v>
      </c>
      <c r="B5" s="7" t="str">
        <f aca="false">DCF!B60</f>
        <v>SELL</v>
      </c>
      <c r="D5" s="8" t="s">
        <v>9</v>
      </c>
      <c r="E5" s="9" t="n">
        <f aca="false">'Income Statement'!K6</f>
        <v>38735.77</v>
      </c>
      <c r="F5" s="9" t="n">
        <f aca="false">'Income Statement'!L6</f>
        <v>47021.351203</v>
      </c>
      <c r="G5" s="9" t="n">
        <f aca="false">'Income Statement'!M6</f>
        <v>53143.5311296306</v>
      </c>
    </row>
    <row r="6" customFormat="false" ht="15" hidden="false" customHeight="false" outlineLevel="0" collapsed="false">
      <c r="A6" s="6" t="s">
        <v>10</v>
      </c>
      <c r="B6" s="10" t="n">
        <f aca="false">DCF!B56</f>
        <v>575</v>
      </c>
      <c r="D6" s="8" t="s">
        <v>11</v>
      </c>
      <c r="E6" s="9" t="n">
        <f aca="false">'Income Statement'!K10</f>
        <v>22868.19</v>
      </c>
      <c r="F6" s="9" t="n">
        <f aca="false">'Income Statement'!L10</f>
        <v>27507.490453755</v>
      </c>
      <c r="G6" s="9" t="n">
        <f aca="false">'Income Statement'!M10</f>
        <v>30823.2480551857</v>
      </c>
    </row>
    <row r="7" customFormat="false" ht="15" hidden="false" customHeight="false" outlineLevel="0" collapsed="false">
      <c r="A7" s="8" t="s">
        <v>12</v>
      </c>
      <c r="B7" s="11" t="n">
        <f aca="false">DCF!B46</f>
        <v>1695</v>
      </c>
      <c r="D7" s="8" t="s">
        <v>13</v>
      </c>
      <c r="E7" s="9" t="n">
        <f aca="false">'Income Statement'!K18</f>
        <v>12806.21</v>
      </c>
      <c r="F7" s="9" t="n">
        <f aca="false">'Income Statement'!L18</f>
        <v>13708.5995897903</v>
      </c>
      <c r="G7" s="9" t="n">
        <f aca="false">'Income Statement'!M18</f>
        <v>16028.6481390641</v>
      </c>
    </row>
    <row r="8" customFormat="false" ht="15" hidden="false" customHeight="false" outlineLevel="0" collapsed="false">
      <c r="A8" s="6" t="s">
        <v>14</v>
      </c>
      <c r="B8" s="12" t="n">
        <f aca="false">DCF!B57</f>
        <v>-0.660766961651917</v>
      </c>
      <c r="D8" s="8" t="s">
        <v>15</v>
      </c>
      <c r="E8" s="13" t="n">
        <f aca="false">'Income Statement'!K19</f>
        <v>55.5834977966188</v>
      </c>
      <c r="F8" s="13" t="n">
        <f aca="false">'Income Statement'!L19</f>
        <v>59.5001889781471</v>
      </c>
      <c r="G8" s="13" t="n">
        <f aca="false">'Income Statement'!M19</f>
        <v>69.5700233340269</v>
      </c>
    </row>
    <row r="9" customFormat="false" ht="15" hidden="false" customHeight="false" outlineLevel="0" collapsed="false">
      <c r="A9" s="8" t="s">
        <v>16</v>
      </c>
      <c r="B9" s="14" t="str">
        <f aca="false">DCF!B50</f>
        <v>Perpetuity DCF</v>
      </c>
      <c r="D9" s="8" t="s">
        <v>17</v>
      </c>
      <c r="E9" s="15" t="n">
        <f aca="false">E6/E5</f>
        <v>0.590363635471813</v>
      </c>
      <c r="F9" s="15" t="n">
        <f aca="false">F6/F5</f>
        <v>0.585</v>
      </c>
      <c r="G9" s="15" t="n">
        <f aca="false">G6/G5</f>
        <v>0.58</v>
      </c>
    </row>
    <row r="10" customFormat="false" ht="15" hidden="false" customHeight="false" outlineLevel="0" collapsed="false">
      <c r="A10" s="8" t="s">
        <v>18</v>
      </c>
      <c r="B10" s="16" t="n">
        <f aca="false">DCF!B51</f>
        <v>12</v>
      </c>
    </row>
    <row r="11" customFormat="false" ht="15" hidden="false" customHeight="false" outlineLevel="0" collapsed="false">
      <c r="A11" s="8" t="s">
        <v>19</v>
      </c>
      <c r="B11" s="14" t="str">
        <f aca="false">Scenarios!B5</f>
        <v>Base</v>
      </c>
    </row>
    <row r="12" customFormat="false" ht="15" hidden="false" customHeight="false" outlineLevel="0" collapsed="false">
      <c r="A12" s="3" t="s">
        <v>20</v>
      </c>
      <c r="B12" s="4" t="s">
        <v>3</v>
      </c>
    </row>
    <row r="13" customFormat="false" ht="15" hidden="false" customHeight="false" outlineLevel="0" collapsed="false">
      <c r="A13" s="8" t="s">
        <v>21</v>
      </c>
      <c r="B13" s="17" t="n">
        <f aca="false">DCF!B45</f>
        <v>512.779689751377</v>
      </c>
    </row>
    <row r="14" customFormat="false" ht="15" hidden="false" customHeight="false" outlineLevel="0" collapsed="false">
      <c r="A14" s="8" t="s">
        <v>22</v>
      </c>
      <c r="B14" s="18" t="n">
        <f aca="false">DCF!B27</f>
        <v>0.1256164</v>
      </c>
    </row>
    <row r="15" customFormat="false" ht="15" hidden="false" customHeight="false" outlineLevel="0" collapsed="false">
      <c r="A15" s="8" t="s">
        <v>23</v>
      </c>
      <c r="B15" s="19" t="n">
        <f aca="false">DCF!B28</f>
        <v>0.05</v>
      </c>
    </row>
    <row r="16" customFormat="false" ht="15" hidden="false" customHeight="false" outlineLevel="0" collapsed="false">
      <c r="A16" s="8" t="s">
        <v>24</v>
      </c>
      <c r="B16" s="19" t="n">
        <f aca="false">DCF!B29</f>
        <v>0.105</v>
      </c>
    </row>
    <row r="17" customFormat="false" ht="15" hidden="false" customHeight="false" outlineLevel="0" collapsed="false">
      <c r="A17" s="8" t="s">
        <v>25</v>
      </c>
      <c r="B17" s="19" t="n">
        <f aca="false">DCF!B35</f>
        <v>0.735737962866123</v>
      </c>
    </row>
    <row r="18" customFormat="false" ht="15" hidden="false" customHeight="false" outlineLevel="0" collapsed="false">
      <c r="A18" s="8" t="s">
        <v>26</v>
      </c>
      <c r="B18" s="9" t="n">
        <f aca="false">DCF!B34</f>
        <v>163736.521476244</v>
      </c>
    </row>
    <row r="19" customFormat="false" ht="15" hidden="false" customHeight="false" outlineLevel="0" collapsed="false">
      <c r="A19" s="8" t="s">
        <v>27</v>
      </c>
      <c r="B19" s="9" t="n">
        <f aca="false">DCF!B43</f>
        <v>118142.338121989</v>
      </c>
    </row>
    <row r="21" customFormat="false" ht="15" hidden="false" customHeight="false" outlineLevel="0" collapsed="false">
      <c r="A21" s="3" t="s">
        <v>28</v>
      </c>
      <c r="B21" s="4" t="s">
        <v>29</v>
      </c>
    </row>
    <row r="22" customFormat="false" ht="15" hidden="false" customHeight="false" outlineLevel="0" collapsed="false">
      <c r="A22" s="8" t="s">
        <v>30</v>
      </c>
      <c r="B22" s="17" t="n">
        <f aca="false">Scenarios!C44</f>
        <v>513</v>
      </c>
    </row>
    <row r="23" customFormat="false" ht="15" hidden="false" customHeight="false" outlineLevel="0" collapsed="false">
      <c r="A23" s="8" t="s">
        <v>31</v>
      </c>
      <c r="B23" s="17" t="n">
        <f aca="false">Scenarios!C45</f>
        <v>691</v>
      </c>
    </row>
    <row r="24" customFormat="false" ht="15" hidden="false" customHeight="false" outlineLevel="0" collapsed="false">
      <c r="A24" s="8" t="s">
        <v>32</v>
      </c>
      <c r="B24" s="17" t="n">
        <f aca="false">Scenarios!C46</f>
        <v>217</v>
      </c>
    </row>
    <row r="25" customFormat="false" ht="15" hidden="false" customHeight="false" outlineLevel="0" collapsed="false">
      <c r="A25" s="8" t="s">
        <v>33</v>
      </c>
      <c r="B25" s="17" t="n">
        <f aca="false">Scenarios!D47</f>
        <v>483.5</v>
      </c>
    </row>
    <row r="26" customFormat="false" ht="15" hidden="false" customHeight="false" outlineLevel="0" collapsed="false">
      <c r="A26" s="8" t="s">
        <v>34</v>
      </c>
      <c r="B26" s="17" t="n">
        <f aca="false">DCF!B68</f>
        <v>1144.63376284308</v>
      </c>
    </row>
    <row r="27" customFormat="false" ht="15" hidden="false" customHeight="false" outlineLevel="0" collapsed="false">
      <c r="A27" s="8" t="s">
        <v>35</v>
      </c>
      <c r="B27" s="17" t="n">
        <f aca="false">DCF!B70</f>
        <v>1616.01193166881</v>
      </c>
    </row>
    <row r="28" customFormat="false" ht="15" hidden="false" customHeight="false" outlineLevel="0" collapsed="false">
      <c r="A28" s="8" t="s">
        <v>36</v>
      </c>
      <c r="B28" s="17" t="n">
        <f aca="false">DCF!B46</f>
        <v>1695</v>
      </c>
    </row>
    <row r="29" customFormat="false" ht="15" hidden="false" customHeight="false" outlineLevel="0" collapsed="false">
      <c r="A29" s="20" t="s">
        <v>37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21" t="s">
        <v>38</v>
      </c>
    </row>
    <row r="3" customFormat="false" ht="15" hidden="false" customHeight="false" outlineLevel="0" collapsed="false">
      <c r="A3" s="6" t="s">
        <v>39</v>
      </c>
      <c r="B3" s="8" t="s">
        <v>40</v>
      </c>
    </row>
    <row r="4" customFormat="false" ht="15" hidden="false" customHeight="false" outlineLevel="0" collapsed="false">
      <c r="A4" s="6" t="s">
        <v>41</v>
      </c>
      <c r="B4" s="8" t="s">
        <v>42</v>
      </c>
    </row>
    <row r="5" customFormat="false" ht="15" hidden="false" customHeight="false" outlineLevel="0" collapsed="false">
      <c r="A5" s="6" t="s">
        <v>43</v>
      </c>
      <c r="B5" s="8" t="s">
        <v>44</v>
      </c>
    </row>
    <row r="6" customFormat="false" ht="15" hidden="false" customHeight="false" outlineLevel="0" collapsed="false">
      <c r="A6" s="6" t="s">
        <v>45</v>
      </c>
      <c r="B6" s="8" t="s">
        <v>46</v>
      </c>
    </row>
    <row r="7" customFormat="false" ht="15" hidden="false" customHeight="false" outlineLevel="0" collapsed="false">
      <c r="A7" s="6" t="s">
        <v>47</v>
      </c>
      <c r="B7" s="8" t="s">
        <v>48</v>
      </c>
    </row>
    <row r="8" customFormat="false" ht="15" hidden="false" customHeight="false" outlineLevel="0" collapsed="false">
      <c r="A8" s="6" t="s">
        <v>49</v>
      </c>
      <c r="B8" s="8" t="s">
        <v>50</v>
      </c>
    </row>
    <row r="9" customFormat="false" ht="15" hidden="false" customHeight="false" outlineLevel="0" collapsed="false">
      <c r="A9" s="6" t="s">
        <v>51</v>
      </c>
      <c r="B9" s="6" t="s">
        <v>52</v>
      </c>
    </row>
    <row r="11" customFormat="false" ht="15" hidden="false" customHeight="false" outlineLevel="0" collapsed="false">
      <c r="A11" s="22" t="s">
        <v>53</v>
      </c>
    </row>
    <row r="12" customFormat="false" ht="15" hidden="false" customHeight="false" outlineLevel="0" collapsed="false">
      <c r="A12" s="23" t="s">
        <v>54</v>
      </c>
      <c r="B12" s="0" t="s">
        <v>55</v>
      </c>
      <c r="C12" s="0" t="n">
        <v>0</v>
      </c>
      <c r="D12" s="0" t="s">
        <v>56</v>
      </c>
    </row>
    <row r="13" customFormat="false" ht="15" hidden="false" customHeight="false" outlineLevel="0" collapsed="false">
      <c r="A13" s="23" t="s">
        <v>57</v>
      </c>
      <c r="B13" s="0" t="s">
        <v>55</v>
      </c>
      <c r="C13" s="0" t="n">
        <v>0</v>
      </c>
      <c r="D13" s="0" t="s">
        <v>58</v>
      </c>
    </row>
    <row r="14" customFormat="false" ht="15" hidden="false" customHeight="false" outlineLevel="0" collapsed="false">
      <c r="A14" s="23" t="s">
        <v>59</v>
      </c>
      <c r="B14" s="0" t="s">
        <v>55</v>
      </c>
      <c r="C14" s="0" t="n">
        <v>0</v>
      </c>
      <c r="D14" s="0" t="s">
        <v>58</v>
      </c>
    </row>
    <row r="15" customFormat="false" ht="15" hidden="false" customHeight="false" outlineLevel="0" collapsed="false">
      <c r="A15" s="23" t="s">
        <v>60</v>
      </c>
      <c r="B15" s="0" t="s">
        <v>55</v>
      </c>
      <c r="C15" s="0" t="n">
        <v>0</v>
      </c>
      <c r="D15" s="0" t="s">
        <v>58</v>
      </c>
    </row>
    <row r="16" customFormat="false" ht="15" hidden="false" customHeight="false" outlineLevel="0" collapsed="false">
      <c r="A16" s="24" t="s">
        <v>61</v>
      </c>
      <c r="B16" s="0" t="s">
        <v>62</v>
      </c>
      <c r="C16" s="0" t="n">
        <v>22582.9</v>
      </c>
      <c r="D16" s="0" t="s">
        <v>5</v>
      </c>
    </row>
    <row r="17" customFormat="false" ht="15" hidden="false" customHeight="false" outlineLevel="0" collapsed="false">
      <c r="A17" s="23" t="s">
        <v>63</v>
      </c>
      <c r="B17" s="0" t="s">
        <v>62</v>
      </c>
      <c r="C17" s="0" t="n">
        <v>0</v>
      </c>
      <c r="D17" s="0" t="s">
        <v>64</v>
      </c>
    </row>
    <row r="18" customFormat="false" ht="15" hidden="false" customHeight="false" outlineLevel="0" collapsed="false">
      <c r="A18" s="23" t="s">
        <v>65</v>
      </c>
      <c r="B18" s="0" t="s">
        <v>62</v>
      </c>
      <c r="C18" s="0" t="n">
        <v>4415.24</v>
      </c>
      <c r="D18" s="0" t="s">
        <v>66</v>
      </c>
    </row>
    <row r="19" customFormat="false" ht="15" hidden="false" customHeight="false" outlineLevel="0" collapsed="false">
      <c r="A19" s="23" t="s">
        <v>67</v>
      </c>
      <c r="B19" s="0" t="s">
        <v>55</v>
      </c>
      <c r="C19" s="0" t="n">
        <v>10550.461</v>
      </c>
      <c r="D19" s="0" t="s">
        <v>6</v>
      </c>
    </row>
    <row r="20" customFormat="false" ht="15" hidden="false" customHeight="false" outlineLevel="0" collapsed="false">
      <c r="A20" s="23" t="s">
        <v>68</v>
      </c>
      <c r="B20" s="0" t="s">
        <v>55</v>
      </c>
      <c r="C20" s="0" t="n">
        <v>0</v>
      </c>
      <c r="D20" s="0" t="s">
        <v>6</v>
      </c>
    </row>
    <row r="21" customFormat="false" ht="15" hidden="false" customHeight="false" outlineLevel="0" collapsed="false">
      <c r="A21" s="23" t="s">
        <v>69</v>
      </c>
      <c r="B21" s="0" t="s">
        <v>55</v>
      </c>
      <c r="C21" s="0" t="n">
        <v>138607.4628</v>
      </c>
      <c r="D21" s="0" t="s">
        <v>6</v>
      </c>
    </row>
    <row r="22" customFormat="false" ht="15" hidden="false" customHeight="false" outlineLevel="0" collapsed="false">
      <c r="A22" s="23" t="s">
        <v>70</v>
      </c>
      <c r="B22" s="0" t="s">
        <v>55</v>
      </c>
      <c r="C22" s="0" t="n">
        <v>107697.64</v>
      </c>
      <c r="D22" s="0" t="s">
        <v>6</v>
      </c>
    </row>
    <row r="23" customFormat="false" ht="15" hidden="false" customHeight="false" outlineLevel="0" collapsed="false">
      <c r="A23" s="23" t="s">
        <v>71</v>
      </c>
      <c r="B23" s="0" t="s">
        <v>55</v>
      </c>
      <c r="C23" s="0" t="n">
        <v>0</v>
      </c>
      <c r="D23" s="0" t="s">
        <v>5</v>
      </c>
    </row>
    <row r="24" customFormat="false" ht="15" hidden="false" customHeight="false" outlineLevel="0" collapsed="false">
      <c r="A24" s="23" t="s">
        <v>72</v>
      </c>
      <c r="B24" s="0" t="s">
        <v>62</v>
      </c>
      <c r="C24" s="0" t="n">
        <v>0</v>
      </c>
      <c r="D24" s="0" t="s">
        <v>73</v>
      </c>
    </row>
    <row r="25" customFormat="false" ht="15" hidden="false" customHeight="false" outlineLevel="0" collapsed="false">
      <c r="A25" s="23" t="s">
        <v>74</v>
      </c>
      <c r="B25" s="0" t="s">
        <v>62</v>
      </c>
      <c r="C25" s="0" t="n">
        <v>0</v>
      </c>
      <c r="D25" s="0" t="s">
        <v>73</v>
      </c>
    </row>
    <row r="26" customFormat="false" ht="15" hidden="false" customHeight="false" outlineLevel="0" collapsed="false">
      <c r="A26" s="23" t="s">
        <v>75</v>
      </c>
      <c r="B26" s="0" t="s">
        <v>62</v>
      </c>
      <c r="C26" s="0" t="n">
        <v>0</v>
      </c>
      <c r="D26" s="0" t="s">
        <v>73</v>
      </c>
    </row>
    <row r="27" customFormat="false" ht="15" hidden="false" customHeight="false" outlineLevel="0" collapsed="false">
      <c r="A27" s="23" t="s">
        <v>76</v>
      </c>
      <c r="B27" s="0" t="s">
        <v>62</v>
      </c>
      <c r="C27" s="0" t="n">
        <v>0</v>
      </c>
      <c r="D27" s="0" t="s">
        <v>73</v>
      </c>
    </row>
    <row r="29" customFormat="false" ht="15" hidden="false" customHeight="false" outlineLevel="0" collapsed="false">
      <c r="A29" s="22" t="s">
        <v>77</v>
      </c>
    </row>
    <row r="30" customFormat="false" ht="15" hidden="false" customHeight="false" outlineLevel="0" collapsed="false">
      <c r="A30" s="8" t="s">
        <v>78</v>
      </c>
    </row>
    <row r="31" customFormat="false" ht="15" hidden="false" customHeight="false" outlineLevel="0" collapsed="false">
      <c r="A31" s="8" t="s">
        <v>79</v>
      </c>
    </row>
    <row r="32" customFormat="false" ht="15" hidden="false" customHeight="false" outlineLevel="0" collapsed="false">
      <c r="A32" s="8" t="s">
        <v>80</v>
      </c>
    </row>
    <row r="33" customFormat="false" ht="15" hidden="false" customHeight="false" outlineLevel="0" collapsed="false">
      <c r="A33" s="8" t="s">
        <v>81</v>
      </c>
    </row>
    <row r="34" customFormat="false" ht="15" hidden="false" customHeight="false" outlineLevel="0" collapsed="false">
      <c r="A34" s="8" t="s">
        <v>82</v>
      </c>
    </row>
    <row r="35" customFormat="false" ht="15" hidden="false" customHeight="false" outlineLevel="0" collapsed="false">
      <c r="A35" s="8" t="s">
        <v>83</v>
      </c>
    </row>
    <row r="36" customFormat="false" ht="15" hidden="false" customHeight="false" outlineLevel="0" collapsed="false">
      <c r="A36" s="8" t="s">
        <v>84</v>
      </c>
    </row>
    <row r="37" customFormat="false" ht="15" hidden="false" customHeight="false" outlineLevel="0" collapsed="false">
      <c r="A37" s="8" t="s">
        <v>85</v>
      </c>
    </row>
    <row r="38" customFormat="false" ht="15" hidden="false" customHeight="false" outlineLevel="0" collapsed="false">
      <c r="A38" s="8" t="s">
        <v>86</v>
      </c>
    </row>
    <row r="40" customFormat="false" ht="15" hidden="false" customHeight="false" outlineLevel="0" collapsed="false">
      <c r="A40" s="25" t="s">
        <v>87</v>
      </c>
    </row>
    <row r="41" customFormat="false" ht="15" hidden="false" customHeight="false" outlineLevel="0" collapsed="false">
      <c r="A41" s="0" t="s">
        <v>88</v>
      </c>
    </row>
    <row r="42" customFormat="false" ht="15" hidden="false" customHeight="false" outlineLevel="0" collapsed="false">
      <c r="A42" s="0" t="s">
        <v>89</v>
      </c>
    </row>
    <row r="43" customFormat="false" ht="15" hidden="false" customHeight="false" outlineLevel="0" collapsed="false">
      <c r="A43" s="0" t="s">
        <v>90</v>
      </c>
    </row>
    <row r="44" customFormat="false" ht="15" hidden="false" customHeight="false" outlineLevel="0" collapsed="false">
      <c r="A44" s="0" t="s">
        <v>91</v>
      </c>
    </row>
    <row r="45" customFormat="false" ht="15" hidden="false" customHeight="false" outlineLevel="0" collapsed="false">
      <c r="A45" s="0" t="s">
        <v>92</v>
      </c>
    </row>
    <row r="47" customFormat="false" ht="15" hidden="false" customHeight="false" outlineLevel="0" collapsed="false">
      <c r="A47" s="25" t="s">
        <v>93</v>
      </c>
    </row>
    <row r="48" customFormat="false" ht="15" hidden="false" customHeight="false" outlineLevel="0" collapsed="false">
      <c r="A48" s="0" t="s">
        <v>94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106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6" t="s">
        <v>9</v>
      </c>
      <c r="B6" s="29" t="n">
        <f aca="false">'Income Statement'!B6</f>
        <v>8439.35</v>
      </c>
      <c r="C6" s="29" t="n">
        <f aca="false">'Income Statement'!C6</f>
        <v>11322.96</v>
      </c>
      <c r="D6" s="29" t="n">
        <f aca="false">'Income Statement'!D6</f>
        <v>10925.44</v>
      </c>
      <c r="E6" s="29" t="n">
        <f aca="false">'Income Statement'!E6</f>
        <v>11873.07</v>
      </c>
      <c r="F6" s="29" t="n">
        <f aca="false">'Income Statement'!F6</f>
        <v>12549.6</v>
      </c>
      <c r="G6" s="29" t="n">
        <f aca="false">'Income Statement'!G6</f>
        <v>17118.79</v>
      </c>
      <c r="H6" s="29" t="n">
        <f aca="false">'Income Statement'!H6</f>
        <v>20851.91</v>
      </c>
      <c r="I6" s="29" t="n">
        <f aca="false">'Income Statement'!I6</f>
        <v>26710.56</v>
      </c>
      <c r="J6" s="29" t="n">
        <f aca="false">'Income Statement'!J6</f>
        <v>30475.33</v>
      </c>
      <c r="K6" s="29" t="n">
        <f aca="false">'Income Statement'!K6</f>
        <v>38735.77</v>
      </c>
      <c r="L6" s="30" t="n">
        <f aca="false">'Income Statement'!L6</f>
        <v>47021.351203</v>
      </c>
      <c r="M6" s="30" t="n">
        <f aca="false">'Income Statement'!M6</f>
        <v>53143.5311296306</v>
      </c>
      <c r="N6" s="30" t="n">
        <f aca="false">'Income Statement'!N6</f>
        <v>60833.4000840882</v>
      </c>
      <c r="O6" s="30" t="n">
        <f aca="false">'Income Statement'!O6</f>
        <v>69842.8266365416</v>
      </c>
      <c r="P6" s="30" t="n">
        <f aca="false">'Income Statement'!P6</f>
        <v>78286.8243768995</v>
      </c>
    </row>
    <row r="7" customFormat="false" ht="15" hidden="false" customHeight="false" outlineLevel="0" collapsed="false">
      <c r="A7" s="31" t="s">
        <v>107</v>
      </c>
      <c r="B7" s="19" t="n">
        <f aca="false">(IFERROR(('Income Statement'!B6)/(0),0)-1)</f>
        <v>-1</v>
      </c>
      <c r="C7" s="19" t="n">
        <f aca="false">(IFERROR(('Income Statement'!C6)/('Income Statement'!B6),0)-1)</f>
        <v>0.341686267307316</v>
      </c>
      <c r="D7" s="19" t="n">
        <f aca="false">(IFERROR(('Income Statement'!D6)/('Income Statement'!C6),0)-1)</f>
        <v>-0.0351074277397429</v>
      </c>
      <c r="E7" s="19" t="n">
        <f aca="false">(IFERROR(('Income Statement'!E6)/('Income Statement'!D6),0)-1)</f>
        <v>0.0867360948392009</v>
      </c>
      <c r="F7" s="19" t="n">
        <f aca="false">(IFERROR(('Income Statement'!F6)/('Income Statement'!E6),0)-1)</f>
        <v>0.056980208151725</v>
      </c>
      <c r="G7" s="19" t="n">
        <f aca="false">(IFERROR(('Income Statement'!G6)/('Income Statement'!F6),0)-1)</f>
        <v>0.364090488939887</v>
      </c>
      <c r="H7" s="19" t="n">
        <f aca="false">(IFERROR(('Income Statement'!H6)/('Income Statement'!G6),0)-1)</f>
        <v>0.2180714875292</v>
      </c>
      <c r="I7" s="19" t="n">
        <f aca="false">(IFERROR(('Income Statement'!I6)/('Income Statement'!H6),0)-1)</f>
        <v>0.280964669423569</v>
      </c>
      <c r="J7" s="19" t="n">
        <f aca="false">(IFERROR(('Income Statement'!J6)/('Income Statement'!I6),0)-1)</f>
        <v>0.140946876441378</v>
      </c>
      <c r="K7" s="19" t="n">
        <f aca="false">(IFERROR(('Income Statement'!K6)/('Income Statement'!J6),0)-1)</f>
        <v>0.271053340521661</v>
      </c>
      <c r="L7" s="32" t="n">
        <f aca="false">(IFERROR(('Income Statement'!L6)/('Income Statement'!K6),0)-1)</f>
        <v>0.2139</v>
      </c>
      <c r="M7" s="32" t="n">
        <f aca="false">(IFERROR(('Income Statement'!M6)/('Income Statement'!L6),0)-1)</f>
        <v>0.1302</v>
      </c>
      <c r="N7" s="32" t="n">
        <f aca="false">(IFERROR(('Income Statement'!N6)/('Income Statement'!M6),0)-1)</f>
        <v>0.1447</v>
      </c>
      <c r="O7" s="32" t="n">
        <f aca="false">(IFERROR(('Income Statement'!O6)/('Income Statement'!N6),0)-1)</f>
        <v>0.1481</v>
      </c>
      <c r="P7" s="32" t="n">
        <f aca="false">(IFERROR(('Income Statement'!P6)/('Income Statement'!O6),0)-1)</f>
        <v>0.1209</v>
      </c>
    </row>
    <row r="8" customFormat="false" ht="15" hidden="false" customHeight="false" outlineLevel="0" collapsed="false">
      <c r="A8" s="8" t="s">
        <v>11</v>
      </c>
      <c r="B8" s="9" t="n">
        <f aca="false">'Income Statement'!B10</f>
        <v>5418.23</v>
      </c>
      <c r="C8" s="9" t="n">
        <f aca="false">'Income Statement'!C10</f>
        <v>7156.67</v>
      </c>
      <c r="D8" s="9" t="n">
        <f aca="false">'Income Statement'!D10</f>
        <v>6595.64</v>
      </c>
      <c r="E8" s="9" t="n">
        <f aca="false">'Income Statement'!E10</f>
        <v>5947.11</v>
      </c>
      <c r="F8" s="9" t="n">
        <f aca="false">'Income Statement'!F10</f>
        <v>8687.96</v>
      </c>
      <c r="G8" s="9" t="n">
        <f aca="false">'Income Statement'!G10</f>
        <v>9527.96</v>
      </c>
      <c r="H8" s="9" t="n">
        <f aca="false">'Income Statement'!H10</f>
        <v>10947.13</v>
      </c>
      <c r="I8" s="9" t="n">
        <f aca="false">'Income Statement'!I10</f>
        <v>15589.41</v>
      </c>
      <c r="J8" s="9" t="n">
        <f aca="false">'Income Statement'!J10</f>
        <v>18421.37</v>
      </c>
      <c r="K8" s="9" t="n">
        <f aca="false">'Income Statement'!K10</f>
        <v>22868.19</v>
      </c>
      <c r="L8" s="33" t="n">
        <f aca="false">'Income Statement'!L10</f>
        <v>27507.490453755</v>
      </c>
      <c r="M8" s="33" t="n">
        <f aca="false">'Income Statement'!M10</f>
        <v>30823.2480551857</v>
      </c>
      <c r="N8" s="33" t="n">
        <f aca="false">'Income Statement'!N10</f>
        <v>34979.2050483507</v>
      </c>
      <c r="O8" s="33" t="n">
        <f aca="false">'Income Statement'!O10</f>
        <v>39810.4111828287</v>
      </c>
      <c r="P8" s="33" t="n">
        <f aca="false">'Income Statement'!P10</f>
        <v>44232.0557729482</v>
      </c>
    </row>
    <row r="9" customFormat="false" ht="15" hidden="false" customHeight="false" outlineLevel="0" collapsed="false">
      <c r="A9" s="31" t="s">
        <v>108</v>
      </c>
      <c r="B9" s="19" t="n">
        <f aca="false">IFERROR(('Income Statement'!B10)/('Income Statement'!B6),0)</f>
        <v>0.642019823801596</v>
      </c>
      <c r="C9" s="19" t="n">
        <f aca="false">IFERROR(('Income Statement'!C10)/('Income Statement'!C6),0)</f>
        <v>0.632049393444824</v>
      </c>
      <c r="D9" s="19" t="n">
        <f aca="false">IFERROR(('Income Statement'!D10)/('Income Statement'!D6),0)</f>
        <v>0.60369559486849</v>
      </c>
      <c r="E9" s="19" t="n">
        <f aca="false">IFERROR(('Income Statement'!E10)/('Income Statement'!E6),0)</f>
        <v>0.500890671073278</v>
      </c>
      <c r="F9" s="19" t="n">
        <f aca="false">IFERROR(('Income Statement'!F10)/('Income Statement'!F6),0)</f>
        <v>0.692289794097023</v>
      </c>
      <c r="G9" s="19" t="n">
        <f aca="false">IFERROR(('Income Statement'!G10)/('Income Statement'!G6),0)</f>
        <v>0.556579057281502</v>
      </c>
      <c r="H9" s="19" t="n">
        <f aca="false">IFERROR(('Income Statement'!H10)/('Income Statement'!H6),0)</f>
        <v>0.524994113249098</v>
      </c>
      <c r="I9" s="19" t="n">
        <f aca="false">IFERROR(('Income Statement'!I10)/('Income Statement'!I6),0)</f>
        <v>0.583642199938901</v>
      </c>
      <c r="J9" s="19" t="n">
        <f aca="false">IFERROR(('Income Statement'!J10)/('Income Statement'!J6),0)</f>
        <v>0.604468269908808</v>
      </c>
      <c r="K9" s="19" t="n">
        <f aca="false">IFERROR(('Income Statement'!K10)/('Income Statement'!K6),0)</f>
        <v>0.590363635471813</v>
      </c>
      <c r="L9" s="32" t="n">
        <f aca="false">IFERROR(('Income Statement'!L10)/('Income Statement'!L6),0)</f>
        <v>0.585</v>
      </c>
      <c r="M9" s="32" t="n">
        <f aca="false">IFERROR(('Income Statement'!M10)/('Income Statement'!M6),0)</f>
        <v>0.58</v>
      </c>
      <c r="N9" s="32" t="n">
        <f aca="false">IFERROR(('Income Statement'!N10)/('Income Statement'!N6),0)</f>
        <v>0.575</v>
      </c>
      <c r="O9" s="32" t="n">
        <f aca="false">IFERROR(('Income Statement'!O10)/('Income Statement'!O6),0)</f>
        <v>0.57</v>
      </c>
      <c r="P9" s="32" t="n">
        <f aca="false">IFERROR(('Income Statement'!P10)/('Income Statement'!P6),0)</f>
        <v>0.565</v>
      </c>
    </row>
    <row r="10" customFormat="false" ht="15" hidden="false" customHeight="false" outlineLevel="0" collapsed="false">
      <c r="A10" s="8" t="s">
        <v>109</v>
      </c>
      <c r="B10" s="9" t="n">
        <f aca="false">'Income Statement'!B12</f>
        <v>4258.04</v>
      </c>
      <c r="C10" s="9" t="n">
        <f aca="false">'Income Statement'!C12</f>
        <v>5968.3</v>
      </c>
      <c r="D10" s="9" t="n">
        <f aca="false">'Income Statement'!D12</f>
        <v>5222.16</v>
      </c>
      <c r="E10" s="9" t="n">
        <f aca="false">'Income Statement'!E12</f>
        <v>4266.83</v>
      </c>
      <c r="F10" s="9" t="n">
        <f aca="false">'Income Statement'!F12</f>
        <v>6580.62</v>
      </c>
      <c r="G10" s="9" t="n">
        <f aca="false">'Income Statement'!G12</f>
        <v>6428.66</v>
      </c>
      <c r="H10" s="9" t="n">
        <f aca="false">'Income Statement'!H12</f>
        <v>7522.42</v>
      </c>
      <c r="I10" s="9" t="n">
        <f aca="false">'Income Statement'!I12</f>
        <v>11700.95</v>
      </c>
      <c r="J10" s="9" t="n">
        <f aca="false">'Income Statement'!J12</f>
        <v>14042.44</v>
      </c>
      <c r="K10" s="9" t="n">
        <f aca="false">'Income Statement'!K12</f>
        <v>17350.81</v>
      </c>
      <c r="L10" s="33" t="n">
        <f aca="false">'Income Statement'!L12</f>
        <v>19885.863923755</v>
      </c>
      <c r="M10" s="33" t="n">
        <f aca="false">'Income Statement'!M12</f>
        <v>22798.9831084688</v>
      </c>
      <c r="N10" s="33" t="n">
        <f aca="false">'Income Statement'!N12</f>
        <v>26496.5052566821</v>
      </c>
      <c r="O10" s="33" t="n">
        <f aca="false">'Income Statement'!O12</f>
        <v>30797.4793601757</v>
      </c>
      <c r="P10" s="33" t="n">
        <f aca="false">'Income Statement'!P12</f>
        <v>34608.7651418723</v>
      </c>
    </row>
    <row r="11" customFormat="false" ht="15" hidden="false" customHeight="false" outlineLevel="0" collapsed="false">
      <c r="A11" s="8" t="s">
        <v>13</v>
      </c>
      <c r="B11" s="9" t="n">
        <f aca="false">'Income Statement'!B18</f>
        <v>3911.52</v>
      </c>
      <c r="C11" s="9" t="n">
        <f aca="false">'Income Statement'!C18</f>
        <v>3673.62</v>
      </c>
      <c r="D11" s="9" t="n">
        <f aca="false">'Income Statement'!D18</f>
        <v>3990.22</v>
      </c>
      <c r="E11" s="9" t="n">
        <f aca="false">'Income Statement'!E18</f>
        <v>3763.13</v>
      </c>
      <c r="F11" s="9" t="n">
        <f aca="false">'Income Statement'!F18</f>
        <v>4994.3</v>
      </c>
      <c r="G11" s="9" t="n">
        <f aca="false">'Income Statement'!G18</f>
        <v>4886.03</v>
      </c>
      <c r="H11" s="9" t="n">
        <f aca="false">'Income Statement'!H18</f>
        <v>5308.85</v>
      </c>
      <c r="I11" s="9" t="n">
        <f aca="false">'Income Statement'!I18</f>
        <v>8110.64</v>
      </c>
      <c r="J11" s="9" t="n">
        <f aca="false">'Income Statement'!J18</f>
        <v>11092.31</v>
      </c>
      <c r="K11" s="9" t="n">
        <f aca="false">'Income Statement'!K18</f>
        <v>12806.21</v>
      </c>
      <c r="L11" s="33" t="n">
        <f aca="false">'Income Statement'!L18</f>
        <v>13708.5995897903</v>
      </c>
      <c r="M11" s="33" t="n">
        <f aca="false">'Income Statement'!M18</f>
        <v>16028.6481390641</v>
      </c>
      <c r="N11" s="33" t="n">
        <f aca="false">'Income Statement'!N18</f>
        <v>19028.3213015241</v>
      </c>
      <c r="O11" s="33" t="n">
        <f aca="false">'Income Statement'!O18</f>
        <v>22549.4439953228</v>
      </c>
      <c r="P11" s="33" t="n">
        <f aca="false">'Income Statement'!P18</f>
        <v>25628.1936920596</v>
      </c>
    </row>
    <row r="12" customFormat="false" ht="15" hidden="false" customHeight="false" outlineLevel="0" collapsed="false">
      <c r="A12" s="8" t="s">
        <v>110</v>
      </c>
      <c r="B12" s="34" t="n">
        <f aca="false">'Income Statement'!B19</f>
        <v>18.8875454380401</v>
      </c>
      <c r="C12" s="34" t="n">
        <f aca="false">'Income Statement'!C19</f>
        <v>17.738798388374</v>
      </c>
      <c r="D12" s="34" t="n">
        <f aca="false">'Income Statement'!D19</f>
        <v>19.267563902978</v>
      </c>
      <c r="E12" s="34" t="n">
        <f aca="false">'Income Statement'!E19</f>
        <v>18.5216010615469</v>
      </c>
      <c r="F12" s="34" t="n">
        <f aca="false">'Income Statement'!F19</f>
        <v>24.5812481050837</v>
      </c>
      <c r="G12" s="34" t="n">
        <f aca="false">'Income Statement'!G19</f>
        <v>23.1305266636148</v>
      </c>
      <c r="H12" s="34" t="n">
        <f aca="false">'Income Statement'!H19</f>
        <v>24.5764277206235</v>
      </c>
      <c r="I12" s="34" t="n">
        <f aca="false">'Income Statement'!I19</f>
        <v>37.5468430503778</v>
      </c>
      <c r="J12" s="34" t="n">
        <f aca="false">'Income Statement'!J19</f>
        <v>51.3499825705661</v>
      </c>
      <c r="K12" s="34" t="n">
        <f aca="false">'Income Statement'!K19</f>
        <v>55.5834977966188</v>
      </c>
      <c r="L12" s="35" t="n">
        <f aca="false">'Income Statement'!L19</f>
        <v>59.5001889781471</v>
      </c>
      <c r="M12" s="35" t="n">
        <f aca="false">'Income Statement'!M19</f>
        <v>69.5700233340269</v>
      </c>
      <c r="N12" s="35" t="n">
        <f aca="false">'Income Statement'!N19</f>
        <v>82.5896697880651</v>
      </c>
      <c r="O12" s="35" t="n">
        <f aca="false">'Income Statement'!O19</f>
        <v>97.8725923305179</v>
      </c>
      <c r="P12" s="35" t="n">
        <f aca="false">'Income Statement'!P19</f>
        <v>111.235459016673</v>
      </c>
    </row>
    <row r="13" customFormat="false" ht="15" hidden="false" customHeight="false" outlineLevel="0" collapsed="false">
      <c r="A13" s="27" t="s">
        <v>111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customFormat="false" ht="15" hidden="false" customHeight="false" outlineLevel="0" collapsed="false">
      <c r="A14" s="6" t="s">
        <v>112</v>
      </c>
      <c r="B14" s="29" t="n">
        <f aca="false">(((('Income Statement'!B12*(1-Drivers!B22))+'Income Statement'!B11)-Schedules!B7)-Schedules!B12)</f>
        <v>-5888.79502942183</v>
      </c>
      <c r="C14" s="29" t="n">
        <f aca="false">(((('Income Statement'!C12*(1-Drivers!C22))+'Income Statement'!C11)-Schedules!C7)-Schedules!C12)</f>
        <v>1595.95364702444</v>
      </c>
      <c r="D14" s="29" t="n">
        <f aca="false">(((('Income Statement'!D12*(1-Drivers!D22))+'Income Statement'!D11)-Schedules!D7)-Schedules!D12)</f>
        <v>-2104.82085887847</v>
      </c>
      <c r="E14" s="29" t="n">
        <f aca="false">(((('Income Statement'!E12*(1-Drivers!E22))+'Income Statement'!E11)-Schedules!E7)-Schedules!E12)</f>
        <v>643.134546056476</v>
      </c>
      <c r="F14" s="29" t="n">
        <f aca="false">(((('Income Statement'!F12*(1-Drivers!F22))+'Income Statement'!F11)-Schedules!F7)-Schedules!F12)</f>
        <v>-6448.52502985533</v>
      </c>
      <c r="G14" s="29" t="n">
        <f aca="false">(((('Income Statement'!G12*(1-Drivers!G22))+'Income Statement'!G11)-Schedules!G7)-Schedules!G12)</f>
        <v>-10748.2748270639</v>
      </c>
      <c r="H14" s="29" t="n">
        <f aca="false">(((('Income Statement'!H12*(1-Drivers!H22))+'Income Statement'!H11)-Schedules!H7)-Schedules!H12)</f>
        <v>-1237.15939431992</v>
      </c>
      <c r="I14" s="29" t="n">
        <f aca="false">(((('Income Statement'!I12*(1-Drivers!I22))+'Income Statement'!I11)-Schedules!I7)-Schedules!I12)</f>
        <v>10875.1164119885</v>
      </c>
      <c r="J14" s="29" t="n">
        <f aca="false">(((('Income Statement'!J12*(1-Drivers!J22))+'Income Statement'!J11)-Schedules!J7)-Schedules!J12)</f>
        <v>428.318784431169</v>
      </c>
      <c r="K14" s="29" t="n">
        <f aca="false">(((('Income Statement'!K12*(1-Drivers!K22))+'Income Statement'!K11)-Schedules!K7)-Schedules!K12)</f>
        <v>-27020.7227876306</v>
      </c>
      <c r="L14" s="30" t="n">
        <f aca="false">(((('Income Statement'!L12*(1-Drivers!L22))+'Income Statement'!L11)-Schedules!L7)-Schedules!L12)</f>
        <v>7166.15454188759</v>
      </c>
      <c r="M14" s="30" t="n">
        <f aca="false">(((('Income Statement'!M12*(1-Drivers!M22))+'Income Statement'!M11)-Schedules!M7)-Schedules!M12)</f>
        <v>10227.9759710917</v>
      </c>
      <c r="N14" s="30" t="n">
        <f aca="false">(((('Income Statement'!N12*(1-Drivers!N22))+'Income Statement'!N11)-Schedules!N7)-Schedules!N12)</f>
        <v>11890.0288983426</v>
      </c>
      <c r="O14" s="30" t="n">
        <f aca="false">(((('Income Statement'!O12*(1-Drivers!O22))+'Income Statement'!O11)-Schedules!O7)-Schedules!O12)</f>
        <v>13917.619837016</v>
      </c>
      <c r="P14" s="30" t="n">
        <f aca="false">(((('Income Statement'!P12*(1-Drivers!P22))+'Income Statement'!P11)-Schedules!P7)-Schedules!P12)</f>
        <v>16875.713826288</v>
      </c>
    </row>
    <row r="15" customFormat="false" ht="15" hidden="false" customHeight="false" outlineLevel="0" collapsed="false">
      <c r="A15" s="8" t="s">
        <v>113</v>
      </c>
      <c r="B15" s="9" t="n">
        <f aca="false">(((('Income Statement'!B18+'Income Statement'!B11)-Schedules!B7)-Schedules!B12)+('Balance Sheet'!B19-0))</f>
        <v>16251.36</v>
      </c>
      <c r="C15" s="9" t="n">
        <f aca="false">(((('Income Statement'!C18+'Income Statement'!C11)-Schedules!C7)-Schedules!C12)+('Balance Sheet'!C19-'Balance Sheet'!B19))</f>
        <v>1236.45</v>
      </c>
      <c r="D15" s="9" t="n">
        <f aca="false">(((('Income Statement'!D18+'Income Statement'!D11)-Schedules!D7)-Schedules!D12)+('Balance Sheet'!D19-'Balance Sheet'!C19))</f>
        <v>3162</v>
      </c>
      <c r="E15" s="9" t="n">
        <f aca="false">(((('Income Statement'!E18+'Income Statement'!E11)-Schedules!E7)-Schedules!E12)+('Balance Sheet'!E19-'Balance Sheet'!D19))</f>
        <v>3153.6</v>
      </c>
      <c r="F15" s="9" t="n">
        <f aca="false">(((('Income Statement'!F18+'Income Statement'!F11)-Schedules!F7)-Schedules!F12)+('Balance Sheet'!F19-'Balance Sheet'!E19))</f>
        <v>-1064.6</v>
      </c>
      <c r="G15" s="9" t="n">
        <f aca="false">(((('Income Statement'!G18+'Income Statement'!G11)-Schedules!G7)-Schedules!G12)+('Balance Sheet'!G19-'Balance Sheet'!F19))</f>
        <v>723.059999999998</v>
      </c>
      <c r="H15" s="9" t="n">
        <f aca="false">(((('Income Statement'!H18+'Income Statement'!H11)-Schedules!H7)-Schedules!H12)+('Balance Sheet'!H19-'Balance Sheet'!G19))</f>
        <v>2292.83</v>
      </c>
      <c r="I15" s="9" t="n">
        <f aca="false">(((('Income Statement'!I18+'Income Statement'!I11)-Schedules!I7)-Schedules!I12)+('Balance Sheet'!I19-'Balance Sheet'!H19))</f>
        <v>5175.69</v>
      </c>
      <c r="J15" s="9" t="n">
        <f aca="false">(((('Income Statement'!J18+'Income Statement'!J11)-Schedules!J7)-Schedules!J12)+('Balance Sheet'!J19-'Balance Sheet'!I19))</f>
        <v>1716.58000000001</v>
      </c>
      <c r="K15" s="9" t="n">
        <f aca="false">(((('Income Statement'!K18+'Income Statement'!K11)-Schedules!K7)-Schedules!K12)+('Balance Sheet'!K19-'Balance Sheet'!J19))</f>
        <v>-17234.01</v>
      </c>
      <c r="L15" s="33" t="n">
        <f aca="false">(((('Income Statement'!L18+'Income Statement'!L11)-Schedules!L7)-Schedules!L12)+('Balance Sheet'!L19-'Balance Sheet'!K19))</f>
        <v>8919.92692869756</v>
      </c>
      <c r="M15" s="33" t="n">
        <f aca="false">(((('Income Statement'!M18+'Income Statement'!M11)-Schedules!M7)-Schedules!M12)+('Balance Sheet'!M19-'Balance Sheet'!L19))</f>
        <v>12212.0482204898</v>
      </c>
      <c r="N15" s="33" t="n">
        <f aca="false">(((('Income Statement'!N18+'Income Statement'!N11)-Schedules!N7)-Schedules!N12)+('Balance Sheet'!N19-'Balance Sheet'!M19))</f>
        <v>14163.7647683307</v>
      </c>
      <c r="O15" s="33" t="n">
        <f aca="false">(((('Income Statement'!O18+'Income Statement'!O11)-Schedules!O7)-Schedules!O12)+('Balance Sheet'!O19-'Balance Sheet'!N19))</f>
        <v>16530.9559050504</v>
      </c>
      <c r="P15" s="33" t="n">
        <f aca="false">(((('Income Statement'!P18+'Income Statement'!P11)-Schedules!P7)-Schedules!P12)+('Balance Sheet'!P19-'Balance Sheet'!O19))</f>
        <v>19807.0314415089</v>
      </c>
    </row>
    <row r="16" customFormat="false" ht="15" hidden="false" customHeight="false" outlineLevel="0" collapsed="false">
      <c r="A16" s="31" t="s">
        <v>114</v>
      </c>
      <c r="B16" s="19" t="n">
        <f aca="false">IFERROR((B14)/('Income Statement'!B10),0)</f>
        <v>-1.08684847808636</v>
      </c>
      <c r="C16" s="19" t="n">
        <f aca="false">IFERROR((C14)/('Income Statement'!C10),0)</f>
        <v>0.223002268796023</v>
      </c>
      <c r="D16" s="19" t="n">
        <f aca="false">IFERROR((D14)/('Income Statement'!D10),0)</f>
        <v>-0.319123065976687</v>
      </c>
      <c r="E16" s="19" t="n">
        <f aca="false">IFERROR((E14)/('Income Statement'!E10),0)</f>
        <v>0.108142365965398</v>
      </c>
      <c r="F16" s="19" t="n">
        <f aca="false">IFERROR((F14)/('Income Statement'!F10),0)</f>
        <v>-0.742236961249284</v>
      </c>
      <c r="G16" s="19" t="n">
        <f aca="false">IFERROR((G14)/('Income Statement'!G10),0)</f>
        <v>-1.12807724078018</v>
      </c>
      <c r="H16" s="19" t="n">
        <f aca="false">IFERROR((H14)/('Income Statement'!H10),0)</f>
        <v>-0.113012213641376</v>
      </c>
      <c r="I16" s="19" t="n">
        <f aca="false">IFERROR((I14)/('Income Statement'!I10),0)</f>
        <v>0.697596407560549</v>
      </c>
      <c r="J16" s="19" t="n">
        <f aca="false">IFERROR((J14)/('Income Statement'!J10),0)</f>
        <v>0.0232511905700373</v>
      </c>
      <c r="K16" s="19" t="n">
        <f aca="false">IFERROR((K14)/('Income Statement'!K10),0)</f>
        <v>-1.18158554689421</v>
      </c>
      <c r="L16" s="32" t="n">
        <f aca="false">IFERROR((L14)/('Income Statement'!L10),0)</f>
        <v>0.26051647837287</v>
      </c>
      <c r="M16" s="32" t="n">
        <f aca="false">IFERROR((M14)/('Income Statement'!M10),0)</f>
        <v>0.331826676824569</v>
      </c>
      <c r="N16" s="32" t="n">
        <f aca="false">IFERROR((N14)/('Income Statement'!N10),0)</f>
        <v>0.339917070210927</v>
      </c>
      <c r="O16" s="32" t="n">
        <f aca="false">IFERROR((O14)/('Income Statement'!O10),0)</f>
        <v>0.349597490292163</v>
      </c>
      <c r="P16" s="32" t="n">
        <f aca="false">IFERROR((P14)/('Income Statement'!P10),0)</f>
        <v>0.381526780326792</v>
      </c>
    </row>
    <row r="17" customFormat="false" ht="15" hidden="false" customHeight="false" outlineLevel="0" collapsed="false">
      <c r="A17" s="27" t="s">
        <v>115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customFormat="false" ht="15" hidden="false" customHeight="false" outlineLevel="0" collapsed="false">
      <c r="A18" s="8" t="s">
        <v>116</v>
      </c>
      <c r="B18" s="9" t="n">
        <f aca="false">(('Balance Sheet'!B19-'Balance Sheet'!B6)-'Balance Sheet'!B12)</f>
        <v>19076.1</v>
      </c>
      <c r="C18" s="9" t="n">
        <f aca="false">(('Balance Sheet'!C19-'Balance Sheet'!C6)-'Balance Sheet'!C12)</f>
        <v>18323.57</v>
      </c>
      <c r="D18" s="9" t="n">
        <f aca="false">(('Balance Sheet'!D19-'Balance Sheet'!D6)-'Balance Sheet'!D12)</f>
        <v>20961.94</v>
      </c>
      <c r="E18" s="9" t="n">
        <f aca="false">(('Balance Sheet'!E19-'Balance Sheet'!E6)-'Balance Sheet'!E12)</f>
        <v>21750.46</v>
      </c>
      <c r="F18" s="9" t="n">
        <f aca="false">(('Balance Sheet'!F19-'Balance Sheet'!F6)-'Balance Sheet'!F12)</f>
        <v>28918.4</v>
      </c>
      <c r="G18" s="9" t="n">
        <f aca="false">(('Balance Sheet'!G19-'Balance Sheet'!G6)-'Balance Sheet'!G12)</f>
        <v>34106.6</v>
      </c>
      <c r="H18" s="9" t="n">
        <f aca="false">(('Balance Sheet'!H19-'Balance Sheet'!H6)-'Balance Sheet'!H12)</f>
        <v>41668.26</v>
      </c>
      <c r="I18" s="9" t="n">
        <f aca="false">(('Balance Sheet'!I19-'Balance Sheet'!I6)-'Balance Sheet'!I12)</f>
        <v>37549.7</v>
      </c>
      <c r="J18" s="9" t="n">
        <f aca="false">(('Balance Sheet'!J19-'Balance Sheet'!J6)-'Balance Sheet'!J12)</f>
        <v>40355.31</v>
      </c>
      <c r="K18" s="9" t="n">
        <f aca="false">(('Balance Sheet'!K19-'Balance Sheet'!K6)-'Balance Sheet'!K12)</f>
        <v>49633.36</v>
      </c>
      <c r="L18" s="33" t="n">
        <f aca="false">(('Balance Sheet'!L19-'Balance Sheet'!L6)-'Balance Sheet'!L12)</f>
        <v>51818.5435263638</v>
      </c>
      <c r="M18" s="33" t="n">
        <f aca="false">(('Balance Sheet'!M19-'Balance Sheet'!M6)-'Balance Sheet'!M12)</f>
        <v>48734.0646670246</v>
      </c>
      <c r="N18" s="33" t="n">
        <f aca="false">(('Balance Sheet'!N19-'Balance Sheet'!N6)-'Balance Sheet'!N12)</f>
        <v>45018.2048063434</v>
      </c>
      <c r="O18" s="33" t="n">
        <f aca="false">(('Balance Sheet'!O19-'Balance Sheet'!O6)-'Balance Sheet'!O12)</f>
        <v>40257.9847510626</v>
      </c>
      <c r="P18" s="33" t="n">
        <f aca="false">(('Balance Sheet'!P19-'Balance Sheet'!P6)-'Balance Sheet'!P12)</f>
        <v>32798.1801573423</v>
      </c>
    </row>
    <row r="19" customFormat="false" ht="15" hidden="false" customHeight="false" outlineLevel="0" collapsed="false">
      <c r="A19" s="31" t="s">
        <v>117</v>
      </c>
      <c r="B19" s="36" t="n">
        <f aca="false">IFERROR((B18)/('Income Statement'!B10),0)</f>
        <v>3.52072540294524</v>
      </c>
      <c r="C19" s="36" t="n">
        <f aca="false">IFERROR((C18)/('Income Statement'!C10),0)</f>
        <v>2.56034859788142</v>
      </c>
      <c r="D19" s="36" t="n">
        <f aca="false">IFERROR((D18)/('Income Statement'!D10),0)</f>
        <v>3.17815102097749</v>
      </c>
      <c r="E19" s="36" t="n">
        <f aca="false">IFERROR((E18)/('Income Statement'!E10),0)</f>
        <v>3.65731590638142</v>
      </c>
      <c r="F19" s="36" t="n">
        <f aca="false">IFERROR((F18)/('Income Statement'!F10),0)</f>
        <v>3.32856044456927</v>
      </c>
      <c r="G19" s="36" t="n">
        <f aca="false">IFERROR((G18)/('Income Statement'!G10),0)</f>
        <v>3.57963299594037</v>
      </c>
      <c r="H19" s="36" t="n">
        <f aca="false">IFERROR((H18)/('Income Statement'!H10),0)</f>
        <v>3.80631818567972</v>
      </c>
      <c r="I19" s="36" t="n">
        <f aca="false">IFERROR((I18)/('Income Statement'!I10),0)</f>
        <v>2.4086671657234</v>
      </c>
      <c r="J19" s="36" t="n">
        <f aca="false">IFERROR((J18)/('Income Statement'!J10),0)</f>
        <v>2.19067908630031</v>
      </c>
      <c r="K19" s="36" t="n">
        <f aca="false">IFERROR((K18)/('Income Statement'!K10),0)</f>
        <v>2.17041051346871</v>
      </c>
      <c r="L19" s="37" t="n">
        <f aca="false">IFERROR((L18)/('Income Statement'!L10),0)</f>
        <v>1.88379756464807</v>
      </c>
      <c r="M19" s="37" t="n">
        <f aca="false">IFERROR((M18)/('Income Statement'!M10),0)</f>
        <v>1.58108141555268</v>
      </c>
      <c r="N19" s="37" t="n">
        <f aca="false">IFERROR((N18)/('Income Statement'!N10),0)</f>
        <v>1.28699908257252</v>
      </c>
      <c r="O19" s="37" t="n">
        <f aca="false">IFERROR((O18)/('Income Statement'!O10),0)</f>
        <v>1.0112426261105</v>
      </c>
      <c r="P19" s="37" t="n">
        <f aca="false">IFERROR((P18)/('Income Statement'!P10),0)</f>
        <v>0.741502505009076</v>
      </c>
    </row>
    <row r="20" customFormat="false" ht="15" hidden="false" customHeight="false" outlineLevel="0" collapsed="false">
      <c r="A20" s="31" t="s">
        <v>118</v>
      </c>
      <c r="B20" s="36" t="n">
        <f aca="false">IFERROR(('Income Statement'!B12)/('Income Statement'!B14),0)</f>
        <v>3.81633713947694</v>
      </c>
      <c r="C20" s="36" t="n">
        <f aca="false">IFERROR(('Income Statement'!C12)/('Income Statement'!C14),0)</f>
        <v>3.78061140460897</v>
      </c>
      <c r="D20" s="36" t="n">
        <f aca="false">IFERROR(('Income Statement'!D12)/('Income Statement'!D14),0)</f>
        <v>3.76999545188747</v>
      </c>
      <c r="E20" s="36" t="n">
        <f aca="false">IFERROR(('Income Statement'!E12)/('Income Statement'!E14),0)</f>
        <v>2.18740003280974</v>
      </c>
      <c r="F20" s="36" t="n">
        <f aca="false">IFERROR(('Income Statement'!F12)/('Income Statement'!F14),0)</f>
        <v>2.9178597874331</v>
      </c>
      <c r="G20" s="36" t="n">
        <f aca="false">IFERROR(('Income Statement'!G12)/('Income Statement'!G14),0)</f>
        <v>2.52706846127237</v>
      </c>
      <c r="H20" s="36" t="n">
        <f aca="false">IFERROR(('Income Statement'!H12)/('Income Statement'!H14),0)</f>
        <v>3.18390444587411</v>
      </c>
      <c r="I20" s="36" t="n">
        <f aca="false">IFERROR(('Income Statement'!I12)/('Income Statement'!I14),0)</f>
        <v>4.28145147716379</v>
      </c>
      <c r="J20" s="36" t="n">
        <f aca="false">IFERROR(('Income Statement'!J12)/('Income Statement'!J14),0)</f>
        <v>4.99256578269047</v>
      </c>
      <c r="K20" s="36" t="n">
        <f aca="false">IFERROR(('Income Statement'!K12)/('Income Statement'!K14),0)</f>
        <v>3.72816599985389</v>
      </c>
      <c r="L20" s="37" t="n">
        <f aca="false">IFERROR(('Income Statement'!L12)/('Income Statement'!L14),0)</f>
        <v>3.78394367592807</v>
      </c>
      <c r="M20" s="37" t="n">
        <f aca="false">IFERROR(('Income Statement'!M12)/('Income Statement'!M14),0)</f>
        <v>4.06625306916024</v>
      </c>
      <c r="N20" s="37" t="n">
        <f aca="false">IFERROR(('Income Statement'!N12)/('Income Statement'!N14),0)</f>
        <v>4.42941376743826</v>
      </c>
      <c r="O20" s="37" t="n">
        <f aca="false">IFERROR(('Income Statement'!O12)/('Income Statement'!O14),0)</f>
        <v>4.82560260851946</v>
      </c>
      <c r="P20" s="37" t="n">
        <f aca="false">IFERROR(('Income Statement'!P12)/('Income Statement'!P14),0)</f>
        <v>5.08277883413725</v>
      </c>
    </row>
    <row r="21" customFormat="false" ht="15" hidden="false" customHeight="false" outlineLevel="0" collapsed="false">
      <c r="A21" s="8" t="s">
        <v>119</v>
      </c>
      <c r="B21" s="9" t="n">
        <f aca="false">((('Balance Sheet'!B15+'Balance Sheet'!B16)+'Balance Sheet'!B19)-'Balance Sheet'!B6)</f>
        <v>37763.44</v>
      </c>
      <c r="C21" s="9" t="n">
        <f aca="false">((('Balance Sheet'!C15+'Balance Sheet'!C16)+'Balance Sheet'!C19)-'Balance Sheet'!C6)</f>
        <v>40305.44</v>
      </c>
      <c r="D21" s="9" t="n">
        <f aca="false">((('Balance Sheet'!D15+'Balance Sheet'!D16)+'Balance Sheet'!D19)-'Balance Sheet'!D6)</f>
        <v>46116.56</v>
      </c>
      <c r="E21" s="9" t="n">
        <f aca="false">((('Balance Sheet'!E15+'Balance Sheet'!E16)+'Balance Sheet'!E19)-'Balance Sheet'!E6)</f>
        <v>48385.42</v>
      </c>
      <c r="F21" s="9" t="n">
        <f aca="false">((('Balance Sheet'!F15+'Balance Sheet'!F16)+'Balance Sheet'!F19)-'Balance Sheet'!F6)</f>
        <v>61596.28</v>
      </c>
      <c r="G21" s="9" t="n">
        <f aca="false">((('Balance Sheet'!G15+'Balance Sheet'!G16)+'Balance Sheet'!G19)-'Balance Sheet'!G6)</f>
        <v>79089.03</v>
      </c>
      <c r="H21" s="9" t="n">
        <f aca="false">((('Balance Sheet'!H15+'Balance Sheet'!H16)+'Balance Sheet'!H19)-'Balance Sheet'!H6)</f>
        <v>94489.3</v>
      </c>
      <c r="I21" s="9" t="n">
        <f aca="false">((('Balance Sheet'!I15+'Balance Sheet'!I16)+'Balance Sheet'!I19)-'Balance Sheet'!I6)</f>
        <v>94616.6</v>
      </c>
      <c r="J21" s="9" t="n">
        <f aca="false">((('Balance Sheet'!J15+'Balance Sheet'!J16)+'Balance Sheet'!J19)-'Balance Sheet'!J6)</f>
        <v>107283.62</v>
      </c>
      <c r="K21" s="9" t="n">
        <f aca="false">((('Balance Sheet'!K15+'Balance Sheet'!K16)+'Balance Sheet'!K19)-'Balance Sheet'!K6)</f>
        <v>151040.78</v>
      </c>
      <c r="L21" s="33" t="n">
        <f aca="false">((('Balance Sheet'!L15+'Balance Sheet'!L16)+'Balance Sheet'!L19)-'Balance Sheet'!L6)</f>
        <v>164964.856692695</v>
      </c>
      <c r="M21" s="33" t="n">
        <f aca="false">((('Balance Sheet'!M15+'Balance Sheet'!M16)+'Balance Sheet'!M19)-'Balance Sheet'!M6)</f>
        <v>175605.965693206</v>
      </c>
      <c r="N21" s="33" t="n">
        <f aca="false">((('Balance Sheet'!N15+'Balance Sheet'!N16)+'Balance Sheet'!N19)-'Balance Sheet'!N6)</f>
        <v>188184.361816161</v>
      </c>
      <c r="O21" s="33" t="n">
        <f aca="false">((('Balance Sheet'!O15+'Balance Sheet'!O16)+'Balance Sheet'!O19)-'Balance Sheet'!O6)</f>
        <v>202733.591445179</v>
      </c>
      <c r="P21" s="33" t="n">
        <f aca="false">((('Balance Sheet'!P15+'Balance Sheet'!P16)+'Balance Sheet'!P19)-'Balance Sheet'!P6)</f>
        <v>217219.619161068</v>
      </c>
    </row>
    <row r="22" customFormat="false" ht="15" hidden="false" customHeight="false" outlineLevel="0" collapsed="false">
      <c r="A22" s="31" t="s">
        <v>120</v>
      </c>
      <c r="B22" s="19" t="n">
        <f aca="false">IFERROR((('Income Statement'!B12*(1-Drivers!B22)))/(AVERAGE(0,B21)),0)</f>
        <v>0.211083787418634</v>
      </c>
      <c r="C22" s="19" t="n">
        <f aca="false">IFERROR((('Income Statement'!C12*(1-Drivers!C22)))/(AVERAGE(B21,C21)),0)</f>
        <v>0.107313020169482</v>
      </c>
      <c r="D22" s="19" t="n">
        <f aca="false">IFERROR((('Income Statement'!D12*(1-Drivers!D22)))/(AVERAGE(C21,D21)),0)</f>
        <v>0.094070934278807</v>
      </c>
      <c r="E22" s="19" t="n">
        <f aca="false">IFERROR((('Income Statement'!E12*(1-Drivers!E22)))/(AVERAGE(D21,E21)),0)</f>
        <v>0.0800712227628771</v>
      </c>
      <c r="F22" s="19" t="n">
        <f aca="false">IFERROR((('Income Statement'!F12*(1-Drivers!F22)))/(AVERAGE(E21,F21)),0)</f>
        <v>0.0949864381100615</v>
      </c>
      <c r="G22" s="19" t="n">
        <f aca="false">IFERROR((('Income Statement'!G12*(1-Drivers!G22)))/(AVERAGE(F21,G21)),0)</f>
        <v>0.0781050299130182</v>
      </c>
      <c r="H22" s="19" t="n">
        <f aca="false">IFERROR((('Income Statement'!H12*(1-Drivers!H22)))/(AVERAGE(G21,H21)),0)</f>
        <v>0.0838622033715854</v>
      </c>
      <c r="I22" s="19" t="n">
        <f aca="false">IFERROR((('Income Statement'!I12*(1-Drivers!I22)))/(AVERAGE(H21,I21)),0)</f>
        <v>0.104133043040841</v>
      </c>
      <c r="J22" s="19" t="n">
        <f aca="false">IFERROR((('Income Statement'!J12*(1-Drivers!J22)))/(AVERAGE(I21,J21)),0)</f>
        <v>0.118420265063913</v>
      </c>
      <c r="K22" s="19" t="n">
        <f aca="false">IFERROR((('Income Statement'!K12*(1-Drivers!K22)))/(AVERAGE(J21,K21)),0)</f>
        <v>0.115856552554613</v>
      </c>
      <c r="L22" s="32" t="n">
        <f aca="false">IFERROR((('Income Statement'!L12*(1-Drivers!L22)))/(AVERAGE(K21,L21)),0)</f>
        <v>0.102573987397706</v>
      </c>
      <c r="M22" s="32" t="n">
        <f aca="false">IFERROR((('Income Statement'!M12*(1-Drivers!M22)))/(AVERAGE(L21,M21)),0)</f>
        <v>0.109117810523109</v>
      </c>
      <c r="N22" s="32" t="n">
        <f aca="false">IFERROR((('Income Statement'!N12*(1-Drivers!N22)))/(AVERAGE(M21,N21)),0)</f>
        <v>0.118720318552944</v>
      </c>
      <c r="O22" s="32" t="n">
        <f aca="false">IFERROR((('Income Statement'!O12*(1-Drivers!O22)))/(AVERAGE(N21,O21)),0)</f>
        <v>0.128415415404384</v>
      </c>
      <c r="P22" s="32" t="n">
        <f aca="false">IFERROR((('Income Statement'!P12*(1-Drivers!P22)))/(AVERAGE(O21,P21)),0)</f>
        <v>0.134329934279618</v>
      </c>
    </row>
    <row r="23" customFormat="false" ht="15" hidden="false" customHeight="false" outlineLevel="0" collapsed="false">
      <c r="A23" s="31" t="s">
        <v>121</v>
      </c>
      <c r="B23" s="19" t="n">
        <f aca="false">IFERROR(('Income Statement'!B18)/(AVERAGE(0,Schedules!B24)),0)</f>
        <v>0.446368191678868</v>
      </c>
      <c r="C23" s="19" t="n">
        <f aca="false">IFERROR(('Income Statement'!C18)/(AVERAGE(Schedules!B24,Schedules!C24)),0)</f>
        <v>0.191190334989811</v>
      </c>
      <c r="D23" s="19" t="n">
        <f aca="false">IFERROR(('Income Statement'!D18)/(AVERAGE(Schedules!C24,Schedules!D24)),0)</f>
        <v>0.176264879259693</v>
      </c>
      <c r="E23" s="19" t="n">
        <f aca="false">IFERROR(('Income Statement'!E18)/(AVERAGE(Schedules!D24,Schedules!E24)),0)</f>
        <v>0.151040914097093</v>
      </c>
      <c r="F23" s="19" t="n">
        <f aca="false">IFERROR(('Income Statement'!F18)/(AVERAGE(Schedules!E24,Schedules!F24)),0)</f>
        <v>0.178691128539864</v>
      </c>
      <c r="G23" s="19" t="n">
        <f aca="false">IFERROR(('Income Statement'!G18)/(AVERAGE(Schedules!F24,Schedules!G24)),0)</f>
        <v>0.135228307766225</v>
      </c>
      <c r="H23" s="19" t="n">
        <f aca="false">IFERROR(('Income Statement'!H18)/(AVERAGE(Schedules!G24,Schedules!H24)),0)</f>
        <v>0.121747144972864</v>
      </c>
      <c r="I23" s="19" t="n">
        <f aca="false">IFERROR(('Income Statement'!I18)/(AVERAGE(Schedules!H24,Schedules!I24)),0)</f>
        <v>0.16524061954027</v>
      </c>
      <c r="J23" s="19" t="n">
        <f aca="false">IFERROR(('Income Statement'!J18)/(AVERAGE(Schedules!I24,Schedules!J24)),0)</f>
        <v>0.19283076235733</v>
      </c>
      <c r="K23" s="19" t="n">
        <f aca="false">IFERROR(('Income Statement'!K18)/(AVERAGE(Schedules!J24,Schedules!K24)),0)</f>
        <v>0.161870717522597</v>
      </c>
      <c r="L23" s="32" t="n">
        <f aca="false">IFERROR(('Income Statement'!L18)/(AVERAGE(Schedules!K24,Schedules!L24)),0)</f>
        <v>0.134624763643918</v>
      </c>
      <c r="M23" s="32" t="n">
        <f aca="false">IFERROR(('Income Statement'!M18)/(AVERAGE(Schedules!L24,Schedules!M24)),0)</f>
        <v>0.139914317255181</v>
      </c>
      <c r="N23" s="32" t="n">
        <f aca="false">IFERROR(('Income Statement'!N18)/(AVERAGE(Schedules!M24,Schedules!N24)),0)</f>
        <v>0.146857032029525</v>
      </c>
      <c r="O23" s="32" t="n">
        <f aca="false">IFERROR(('Income Statement'!O18)/(AVERAGE(Schedules!N24,Schedules!O24)),0)</f>
        <v>0.153010127565777</v>
      </c>
      <c r="P23" s="32" t="n">
        <f aca="false">IFERROR(('Income Statement'!P18)/(AVERAGE(Schedules!O24,Schedules!P24)),0)</f>
        <v>0.152548887433424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6" t="s">
        <v>124</v>
      </c>
      <c r="B4" s="38" t="n">
        <v>1</v>
      </c>
    </row>
    <row r="5" customFormat="false" ht="15" hidden="false" customHeight="false" outlineLevel="0" collapsed="false">
      <c r="A5" s="8" t="s">
        <v>125</v>
      </c>
      <c r="B5" s="39" t="str">
        <f aca="false">CHOOSE($B$4,"Base","Bull","Bear")</f>
        <v>Base</v>
      </c>
    </row>
    <row r="7" customFormat="false" ht="15" hidden="false" customHeight="false" outlineLevel="0" collapsed="false">
      <c r="A7" s="3" t="s">
        <v>126</v>
      </c>
      <c r="B7" s="4" t="s">
        <v>6</v>
      </c>
      <c r="C7" s="4" t="s">
        <v>7</v>
      </c>
      <c r="D7" s="4" t="s">
        <v>56</v>
      </c>
      <c r="E7" s="4" t="s">
        <v>105</v>
      </c>
      <c r="F7" s="4" t="s">
        <v>58</v>
      </c>
    </row>
    <row r="8" customFormat="false" ht="15" hidden="false" customHeight="false" outlineLevel="0" collapsed="false">
      <c r="A8" s="40" t="s">
        <v>127</v>
      </c>
    </row>
    <row r="9" customFormat="false" ht="15" hidden="false" customHeight="false" outlineLevel="0" collapsed="false">
      <c r="A9" s="8" t="s">
        <v>107</v>
      </c>
      <c r="B9" s="41" t="n">
        <v>0.2139</v>
      </c>
      <c r="C9" s="41" t="n">
        <v>0.1302</v>
      </c>
      <c r="D9" s="41" t="n">
        <v>0.1447</v>
      </c>
      <c r="E9" s="41" t="n">
        <v>0.1481</v>
      </c>
      <c r="F9" s="41" t="n">
        <v>0.1209</v>
      </c>
    </row>
    <row r="10" customFormat="false" ht="15" hidden="false" customHeight="false" outlineLevel="0" collapsed="false">
      <c r="A10" s="8" t="s">
        <v>108</v>
      </c>
      <c r="B10" s="41" t="n">
        <v>0.585</v>
      </c>
      <c r="C10" s="41" t="n">
        <v>0.58</v>
      </c>
      <c r="D10" s="41" t="n">
        <v>0.575</v>
      </c>
      <c r="E10" s="41" t="n">
        <v>0.57</v>
      </c>
      <c r="F10" s="41" t="n">
        <v>0.565</v>
      </c>
    </row>
    <row r="11" customFormat="false" ht="15" hidden="false" customHeight="false" outlineLevel="0" collapsed="false">
      <c r="A11" s="8" t="s">
        <v>128</v>
      </c>
      <c r="B11" s="41" t="n">
        <v>0.31</v>
      </c>
      <c r="C11" s="41" t="n">
        <v>0.3</v>
      </c>
      <c r="D11" s="41" t="n">
        <v>0.29</v>
      </c>
      <c r="E11" s="41" t="n">
        <v>0.28</v>
      </c>
      <c r="F11" s="41" t="n">
        <v>0.26</v>
      </c>
    </row>
    <row r="12" customFormat="false" ht="15" hidden="false" customHeight="false" outlineLevel="0" collapsed="false">
      <c r="A12" s="8" t="s">
        <v>129</v>
      </c>
      <c r="B12" s="41" t="n">
        <v>0.185</v>
      </c>
      <c r="C12" s="41" t="n">
        <v>0.185</v>
      </c>
      <c r="D12" s="41" t="n">
        <v>0.185</v>
      </c>
      <c r="E12" s="41" t="n">
        <v>0.185</v>
      </c>
      <c r="F12" s="41" t="n">
        <v>0.185</v>
      </c>
    </row>
    <row r="13" customFormat="false" ht="15" hidden="false" customHeight="false" outlineLevel="0" collapsed="false">
      <c r="A13" s="8" t="s">
        <v>23</v>
      </c>
      <c r="B13" s="41" t="n">
        <v>0.05</v>
      </c>
    </row>
    <row r="14" customFormat="false" ht="15" hidden="false" customHeight="false" outlineLevel="0" collapsed="false">
      <c r="A14" s="8" t="s">
        <v>130</v>
      </c>
      <c r="B14" s="42" t="n">
        <v>0.5</v>
      </c>
    </row>
    <row r="15" customFormat="false" ht="15" hidden="false" customHeight="false" outlineLevel="0" collapsed="false">
      <c r="A15" s="43" t="s">
        <v>131</v>
      </c>
    </row>
    <row r="17" customFormat="false" ht="15" hidden="false" customHeight="false" outlineLevel="0" collapsed="false">
      <c r="A17" s="40" t="s">
        <v>132</v>
      </c>
    </row>
    <row r="18" customFormat="false" ht="15" hidden="false" customHeight="false" outlineLevel="0" collapsed="false">
      <c r="A18" s="8" t="s">
        <v>107</v>
      </c>
      <c r="B18" s="41" t="n">
        <v>0.24</v>
      </c>
      <c r="C18" s="41" t="n">
        <v>0.16</v>
      </c>
      <c r="D18" s="41" t="n">
        <v>0.17</v>
      </c>
      <c r="E18" s="41" t="n">
        <v>0.17</v>
      </c>
      <c r="F18" s="41" t="n">
        <v>0.15</v>
      </c>
    </row>
    <row r="19" customFormat="false" ht="15" hidden="false" customHeight="false" outlineLevel="0" collapsed="false">
      <c r="A19" s="8" t="s">
        <v>108</v>
      </c>
      <c r="B19" s="41" t="n">
        <v>0.595</v>
      </c>
      <c r="C19" s="41" t="n">
        <v>0.595</v>
      </c>
      <c r="D19" s="41" t="n">
        <v>0.59</v>
      </c>
      <c r="E19" s="41" t="n">
        <v>0.59</v>
      </c>
      <c r="F19" s="41" t="n">
        <v>0.585</v>
      </c>
    </row>
    <row r="20" customFormat="false" ht="15" hidden="false" customHeight="false" outlineLevel="0" collapsed="false">
      <c r="A20" s="8" t="s">
        <v>128</v>
      </c>
      <c r="B20" s="41" t="n">
        <v>0.3</v>
      </c>
      <c r="C20" s="41" t="n">
        <v>0.28</v>
      </c>
      <c r="D20" s="41" t="n">
        <v>0.27</v>
      </c>
      <c r="E20" s="41" t="n">
        <v>0.25</v>
      </c>
      <c r="F20" s="41" t="n">
        <v>0.23</v>
      </c>
    </row>
    <row r="21" customFormat="false" ht="15" hidden="false" customHeight="false" outlineLevel="0" collapsed="false">
      <c r="A21" s="8" t="s">
        <v>129</v>
      </c>
      <c r="B21" s="41" t="n">
        <v>0.16</v>
      </c>
      <c r="C21" s="41" t="n">
        <v>0.16</v>
      </c>
      <c r="D21" s="41" t="n">
        <v>0.16</v>
      </c>
      <c r="E21" s="41" t="n">
        <v>0.16</v>
      </c>
      <c r="F21" s="41" t="n">
        <v>0.16</v>
      </c>
    </row>
    <row r="22" customFormat="false" ht="15" hidden="false" customHeight="false" outlineLevel="0" collapsed="false">
      <c r="A22" s="8" t="s">
        <v>23</v>
      </c>
      <c r="B22" s="41" t="n">
        <v>0.055</v>
      </c>
    </row>
    <row r="23" customFormat="false" ht="15" hidden="false" customHeight="false" outlineLevel="0" collapsed="false">
      <c r="A23" s="8" t="s">
        <v>130</v>
      </c>
      <c r="B23" s="42" t="n">
        <v>0.25</v>
      </c>
    </row>
    <row r="24" customFormat="false" ht="15" hidden="false" customHeight="false" outlineLevel="0" collapsed="false">
      <c r="A24" s="43" t="s">
        <v>133</v>
      </c>
    </row>
    <row r="26" customFormat="false" ht="15" hidden="false" customHeight="false" outlineLevel="0" collapsed="false">
      <c r="A26" s="40" t="s">
        <v>134</v>
      </c>
    </row>
    <row r="27" customFormat="false" ht="15" hidden="false" customHeight="false" outlineLevel="0" collapsed="false">
      <c r="A27" s="8" t="s">
        <v>107</v>
      </c>
      <c r="B27" s="41" t="n">
        <v>0.16</v>
      </c>
      <c r="C27" s="41" t="n">
        <v>0.08</v>
      </c>
      <c r="D27" s="41" t="n">
        <v>0.08</v>
      </c>
      <c r="E27" s="41" t="n">
        <v>0.08</v>
      </c>
      <c r="F27" s="41" t="n">
        <v>0.07</v>
      </c>
    </row>
    <row r="28" customFormat="false" ht="15" hidden="false" customHeight="false" outlineLevel="0" collapsed="false">
      <c r="A28" s="8" t="s">
        <v>108</v>
      </c>
      <c r="B28" s="41" t="n">
        <v>0.57</v>
      </c>
      <c r="C28" s="41" t="n">
        <v>0.555</v>
      </c>
      <c r="D28" s="41" t="n">
        <v>0.54</v>
      </c>
      <c r="E28" s="41" t="n">
        <v>0.53</v>
      </c>
      <c r="F28" s="41" t="n">
        <v>0.52</v>
      </c>
    </row>
    <row r="29" customFormat="false" ht="15" hidden="false" customHeight="false" outlineLevel="0" collapsed="false">
      <c r="A29" s="8" t="s">
        <v>128</v>
      </c>
      <c r="B29" s="41" t="n">
        <v>0.34</v>
      </c>
      <c r="C29" s="41" t="n">
        <v>0.34</v>
      </c>
      <c r="D29" s="41" t="n">
        <v>0.33</v>
      </c>
      <c r="E29" s="41" t="n">
        <v>0.32</v>
      </c>
      <c r="F29" s="41" t="n">
        <v>0.3</v>
      </c>
    </row>
    <row r="30" customFormat="false" ht="15" hidden="false" customHeight="false" outlineLevel="0" collapsed="false">
      <c r="A30" s="8" t="s">
        <v>129</v>
      </c>
      <c r="B30" s="41" t="n">
        <v>0.23</v>
      </c>
      <c r="C30" s="41" t="n">
        <v>0.23</v>
      </c>
      <c r="D30" s="41" t="n">
        <v>0.23</v>
      </c>
      <c r="E30" s="41" t="n">
        <v>0.23</v>
      </c>
      <c r="F30" s="41" t="n">
        <v>0.23</v>
      </c>
    </row>
    <row r="31" customFormat="false" ht="15" hidden="false" customHeight="false" outlineLevel="0" collapsed="false">
      <c r="A31" s="8" t="s">
        <v>23</v>
      </c>
      <c r="B31" s="41" t="n">
        <v>0.035</v>
      </c>
    </row>
    <row r="32" customFormat="false" ht="15" hidden="false" customHeight="false" outlineLevel="0" collapsed="false">
      <c r="A32" s="8" t="s">
        <v>130</v>
      </c>
      <c r="B32" s="42" t="n">
        <v>0.25</v>
      </c>
    </row>
    <row r="33" customFormat="false" ht="15" hidden="false" customHeight="false" outlineLevel="0" collapsed="false">
      <c r="A33" s="43" t="s">
        <v>135</v>
      </c>
    </row>
    <row r="35" customFormat="false" ht="15" hidden="false" customHeight="false" outlineLevel="0" collapsed="false">
      <c r="A35" s="40" t="s">
        <v>136</v>
      </c>
    </row>
    <row r="36" customFormat="false" ht="15" hidden="false" customHeight="false" outlineLevel="0" collapsed="false">
      <c r="A36" s="8" t="s">
        <v>107</v>
      </c>
      <c r="B36" s="15" t="n">
        <f aca="false">CHOOSE(Scenarios!$B$4,B9,B18,B27)</f>
        <v>0.2139</v>
      </c>
      <c r="C36" s="15" t="n">
        <f aca="false">CHOOSE(Scenarios!$B$4,C9,C18,C27)</f>
        <v>0.1302</v>
      </c>
      <c r="D36" s="15" t="n">
        <f aca="false">CHOOSE(Scenarios!$B$4,D9,D18,D27)</f>
        <v>0.1447</v>
      </c>
      <c r="E36" s="15" t="n">
        <f aca="false">CHOOSE(Scenarios!$B$4,E9,E18,E27)</f>
        <v>0.1481</v>
      </c>
      <c r="F36" s="15" t="n">
        <f aca="false">CHOOSE(Scenarios!$B$4,F9,F18,F27)</f>
        <v>0.1209</v>
      </c>
    </row>
    <row r="37" customFormat="false" ht="15" hidden="false" customHeight="false" outlineLevel="0" collapsed="false">
      <c r="A37" s="8" t="s">
        <v>108</v>
      </c>
      <c r="B37" s="15" t="n">
        <f aca="false">CHOOSE(Scenarios!$B$4,B10,B19,B28)</f>
        <v>0.585</v>
      </c>
      <c r="C37" s="15" t="n">
        <f aca="false">CHOOSE(Scenarios!$B$4,C10,C19,C28)</f>
        <v>0.58</v>
      </c>
      <c r="D37" s="15" t="n">
        <f aca="false">CHOOSE(Scenarios!$B$4,D10,D19,D28)</f>
        <v>0.575</v>
      </c>
      <c r="E37" s="15" t="n">
        <f aca="false">CHOOSE(Scenarios!$B$4,E10,E19,E28)</f>
        <v>0.57</v>
      </c>
      <c r="F37" s="15" t="n">
        <f aca="false">CHOOSE(Scenarios!$B$4,F10,F19,F28)</f>
        <v>0.565</v>
      </c>
    </row>
    <row r="38" customFormat="false" ht="15" hidden="false" customHeight="false" outlineLevel="0" collapsed="false">
      <c r="A38" s="8" t="s">
        <v>128</v>
      </c>
      <c r="B38" s="15" t="n">
        <f aca="false">CHOOSE(Scenarios!$B$4,B11,B20,B29)</f>
        <v>0.31</v>
      </c>
      <c r="C38" s="15" t="n">
        <f aca="false">CHOOSE(Scenarios!$B$4,C11,C20,C29)</f>
        <v>0.3</v>
      </c>
      <c r="D38" s="15" t="n">
        <f aca="false">CHOOSE(Scenarios!$B$4,D11,D20,D29)</f>
        <v>0.29</v>
      </c>
      <c r="E38" s="15" t="n">
        <f aca="false">CHOOSE(Scenarios!$B$4,E11,E20,E29)</f>
        <v>0.28</v>
      </c>
      <c r="F38" s="15" t="n">
        <f aca="false">CHOOSE(Scenarios!$B$4,F11,F20,F29)</f>
        <v>0.26</v>
      </c>
    </row>
    <row r="39" customFormat="false" ht="15" hidden="false" customHeight="false" outlineLevel="0" collapsed="false">
      <c r="A39" s="8" t="s">
        <v>129</v>
      </c>
      <c r="B39" s="15" t="n">
        <f aca="false">CHOOSE(Scenarios!$B$4,B12,B21,B30)</f>
        <v>0.185</v>
      </c>
      <c r="C39" s="15" t="n">
        <f aca="false">CHOOSE(Scenarios!$B$4,C12,C21,C30)</f>
        <v>0.185</v>
      </c>
      <c r="D39" s="15" t="n">
        <f aca="false">CHOOSE(Scenarios!$B$4,D12,D21,D30)</f>
        <v>0.185</v>
      </c>
      <c r="E39" s="15" t="n">
        <f aca="false">CHOOSE(Scenarios!$B$4,E12,E21,E30)</f>
        <v>0.185</v>
      </c>
      <c r="F39" s="15" t="n">
        <f aca="false">CHOOSE(Scenarios!$B$4,F12,F21,F30)</f>
        <v>0.185</v>
      </c>
    </row>
    <row r="40" customFormat="false" ht="15" hidden="false" customHeight="false" outlineLevel="0" collapsed="false">
      <c r="A40" s="8" t="s">
        <v>23</v>
      </c>
      <c r="B40" s="15" t="n">
        <f aca="false">CHOOSE(Scenarios!$B$4,B13,B22,B31)</f>
        <v>0.05</v>
      </c>
    </row>
    <row r="42" customFormat="false" ht="15" hidden="false" customHeight="false" outlineLevel="0" collapsed="false">
      <c r="A42" s="40" t="s">
        <v>137</v>
      </c>
    </row>
    <row r="43" customFormat="false" ht="15" hidden="false" customHeight="false" outlineLevel="0" collapsed="false">
      <c r="A43" s="3" t="s">
        <v>138</v>
      </c>
      <c r="B43" s="4" t="s">
        <v>139</v>
      </c>
      <c r="C43" s="4" t="s">
        <v>3</v>
      </c>
      <c r="D43" s="4" t="s">
        <v>140</v>
      </c>
    </row>
    <row r="44" customFormat="false" ht="15" hidden="false" customHeight="false" outlineLevel="0" collapsed="false">
      <c r="A44" s="8" t="s">
        <v>141</v>
      </c>
      <c r="B44" s="44" t="n">
        <f aca="false">B14</f>
        <v>0.5</v>
      </c>
      <c r="C44" s="45" t="n">
        <v>513</v>
      </c>
      <c r="D44" s="46" t="n">
        <f aca="false">B44*C44</f>
        <v>256.5</v>
      </c>
    </row>
    <row r="45" customFormat="false" ht="15" hidden="false" customHeight="false" outlineLevel="0" collapsed="false">
      <c r="A45" s="8" t="s">
        <v>142</v>
      </c>
      <c r="B45" s="44" t="n">
        <f aca="false">B23</f>
        <v>0.25</v>
      </c>
      <c r="C45" s="45" t="n">
        <v>691</v>
      </c>
      <c r="D45" s="46" t="n">
        <f aca="false">B45*C45</f>
        <v>172.75</v>
      </c>
    </row>
    <row r="46" customFormat="false" ht="15" hidden="false" customHeight="false" outlineLevel="0" collapsed="false">
      <c r="A46" s="8" t="s">
        <v>143</v>
      </c>
      <c r="B46" s="44" t="n">
        <f aca="false">B32</f>
        <v>0.25</v>
      </c>
      <c r="C46" s="45" t="n">
        <v>217</v>
      </c>
      <c r="D46" s="46" t="n">
        <f aca="false">B46*C46</f>
        <v>54.25</v>
      </c>
    </row>
    <row r="47" customFormat="false" ht="15" hidden="false" customHeight="false" outlineLevel="0" collapsed="false">
      <c r="A47" s="6" t="s">
        <v>144</v>
      </c>
      <c r="B47" s="44" t="n">
        <f aca="false">SUM(B44:B46)</f>
        <v>1</v>
      </c>
      <c r="D47" s="47" t="n">
        <f aca="false">SUM(D44:D46)</f>
        <v>483.5</v>
      </c>
    </row>
    <row r="49" customFormat="false" ht="15" hidden="false" customHeight="false" outlineLevel="0" collapsed="false">
      <c r="A49" s="8" t="s">
        <v>145</v>
      </c>
      <c r="B49" s="48" t="n">
        <f aca="false">DCF!B45</f>
        <v>512.779689751377</v>
      </c>
    </row>
    <row r="50" customFormat="false" ht="15" hidden="false" customHeight="false" outlineLevel="0" collapsed="false">
      <c r="A50" s="8" t="s">
        <v>146</v>
      </c>
      <c r="B50" s="46" t="n">
        <f aca="false">INDEX(C44:C46,Scenarios!$B$4)</f>
        <v>513</v>
      </c>
    </row>
    <row r="51" customFormat="false" ht="15" hidden="false" customHeight="false" outlineLevel="0" collapsed="false">
      <c r="A51" s="6" t="s">
        <v>147</v>
      </c>
      <c r="B51" s="47" t="n">
        <f aca="false">ROUND(B49,0)-B50</f>
        <v>0</v>
      </c>
    </row>
  </sheetData>
  <sheetProtection sheet="true" formatColumns="false" formatRows="false"/>
  <dataValidations count="1">
    <dataValidation allowBlank="false" errorStyle="stop" operator="between" showDropDown="false" showErrorMessage="false" showInputMessage="false" sqref="B4" type="whole">
      <formula1>1</formula1>
      <formula2>3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149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31" t="s">
        <v>107</v>
      </c>
      <c r="B6" s="19" t="n">
        <f aca="false">(IFERROR(('Income Statement'!B6)/(0),0)-1)</f>
        <v>-1</v>
      </c>
      <c r="C6" s="19" t="n">
        <f aca="false">(IFERROR(('Income Statement'!C6)/('Income Statement'!B6),0)-1)</f>
        <v>0.341686267307316</v>
      </c>
      <c r="D6" s="19" t="n">
        <f aca="false">(IFERROR(('Income Statement'!D6)/('Income Statement'!C6),0)-1)</f>
        <v>-0.0351074277397429</v>
      </c>
      <c r="E6" s="19" t="n">
        <f aca="false">(IFERROR(('Income Statement'!E6)/('Income Statement'!D6),0)-1)</f>
        <v>0.0867360948392009</v>
      </c>
      <c r="F6" s="19" t="n">
        <f aca="false">(IFERROR(('Income Statement'!F6)/('Income Statement'!E6),0)-1)</f>
        <v>0.056980208151725</v>
      </c>
      <c r="G6" s="19" t="n">
        <f aca="false">(IFERROR(('Income Statement'!G6)/('Income Statement'!F6),0)-1)</f>
        <v>0.364090488939887</v>
      </c>
      <c r="H6" s="19" t="n">
        <f aca="false">(IFERROR(('Income Statement'!H6)/('Income Statement'!G6),0)-1)</f>
        <v>0.2180714875292</v>
      </c>
      <c r="I6" s="19" t="n">
        <f aca="false">(IFERROR(('Income Statement'!I6)/('Income Statement'!H6),0)-1)</f>
        <v>0.280964669423569</v>
      </c>
      <c r="J6" s="19" t="n">
        <f aca="false">(IFERROR(('Income Statement'!J6)/('Income Statement'!I6),0)-1)</f>
        <v>0.140946876441378</v>
      </c>
      <c r="K6" s="19" t="n">
        <f aca="false">(IFERROR(('Income Statement'!K6)/('Income Statement'!J6),0)-1)</f>
        <v>0.271053340521661</v>
      </c>
      <c r="L6" s="19" t="n">
        <f aca="false">Scenarios!B36</f>
        <v>0.2139</v>
      </c>
      <c r="M6" s="19" t="n">
        <f aca="false">Scenarios!C36</f>
        <v>0.1302</v>
      </c>
      <c r="N6" s="19" t="n">
        <f aca="false">Scenarios!D36</f>
        <v>0.1447</v>
      </c>
      <c r="O6" s="19" t="n">
        <f aca="false">Scenarios!E36</f>
        <v>0.1481</v>
      </c>
      <c r="P6" s="19" t="n">
        <f aca="false">Scenarios!F36</f>
        <v>0.1209</v>
      </c>
    </row>
    <row r="7" customFormat="false" ht="15" hidden="false" customHeight="false" outlineLevel="0" collapsed="false">
      <c r="A7" s="31" t="s">
        <v>150</v>
      </c>
      <c r="B7" s="19" t="n">
        <f aca="false">IFERROR(('Income Statement'!B8)/('Income Statement'!B6),0)</f>
        <v>0.737284269523127</v>
      </c>
      <c r="C7" s="19" t="n">
        <f aca="false">IFERROR(('Income Statement'!C8)/('Income Statement'!C6),0)</f>
        <v>0.709830291725838</v>
      </c>
      <c r="D7" s="19" t="n">
        <f aca="false">IFERROR(('Income Statement'!D8)/('Income Statement'!D6),0)</f>
        <v>0.741690037197587</v>
      </c>
      <c r="E7" s="19" t="n">
        <f aca="false">IFERROR(('Income Statement'!E8)/('Income Statement'!E6),0)</f>
        <v>0.733277913799885</v>
      </c>
      <c r="F7" s="19" t="n">
        <f aca="false">IFERROR(('Income Statement'!F8)/('Income Statement'!F6),0)</f>
        <v>0.734692739210812</v>
      </c>
      <c r="G7" s="19" t="n">
        <f aca="false">IFERROR(('Income Statement'!G8)/('Income Statement'!G6),0)</f>
        <v>0.711046750383643</v>
      </c>
      <c r="H7" s="19" t="n">
        <f aca="false">IFERROR(('Income Statement'!H8)/('Income Statement'!H6),0)</f>
        <v>0.72339704132619</v>
      </c>
      <c r="I7" s="19" t="n">
        <f aca="false">IFERROR(('Income Statement'!I8)/('Income Statement'!I6),0)</f>
        <v>0.727575910052054</v>
      </c>
      <c r="J7" s="19" t="n">
        <f aca="false">IFERROR(('Income Statement'!J8)/('Income Statement'!J6),0)</f>
        <v>0.728599165292058</v>
      </c>
      <c r="K7" s="19" t="n">
        <f aca="false">IFERROR(('Income Statement'!K8)/('Income Statement'!K6),0)</f>
        <v>0.702267955432408</v>
      </c>
      <c r="L7" s="49" t="n">
        <v>0.702</v>
      </c>
      <c r="M7" s="49" t="n">
        <v>0.702</v>
      </c>
      <c r="N7" s="49" t="n">
        <v>0.702</v>
      </c>
      <c r="O7" s="49" t="n">
        <v>0.702</v>
      </c>
      <c r="P7" s="49" t="n">
        <v>0.702</v>
      </c>
    </row>
    <row r="8" customFormat="false" ht="15" hidden="false" customHeight="false" outlineLevel="0" collapsed="false">
      <c r="A8" s="31" t="s">
        <v>108</v>
      </c>
      <c r="B8" s="19" t="n">
        <f aca="false">IFERROR(('Income Statement'!B10)/('Income Statement'!B6),0)</f>
        <v>0.642019823801596</v>
      </c>
      <c r="C8" s="19" t="n">
        <f aca="false">IFERROR(('Income Statement'!C10)/('Income Statement'!C6),0)</f>
        <v>0.632049393444824</v>
      </c>
      <c r="D8" s="19" t="n">
        <f aca="false">IFERROR(('Income Statement'!D10)/('Income Statement'!D6),0)</f>
        <v>0.60369559486849</v>
      </c>
      <c r="E8" s="19" t="n">
        <f aca="false">IFERROR(('Income Statement'!E10)/('Income Statement'!E6),0)</f>
        <v>0.500890671073278</v>
      </c>
      <c r="F8" s="19" t="n">
        <f aca="false">IFERROR(('Income Statement'!F10)/('Income Statement'!F6),0)</f>
        <v>0.692289794097023</v>
      </c>
      <c r="G8" s="19" t="n">
        <f aca="false">IFERROR(('Income Statement'!G10)/('Income Statement'!G6),0)</f>
        <v>0.556579057281502</v>
      </c>
      <c r="H8" s="19" t="n">
        <f aca="false">IFERROR(('Income Statement'!H10)/('Income Statement'!H6),0)</f>
        <v>0.524994113249098</v>
      </c>
      <c r="I8" s="19" t="n">
        <f aca="false">IFERROR(('Income Statement'!I10)/('Income Statement'!I6),0)</f>
        <v>0.583642199938901</v>
      </c>
      <c r="J8" s="19" t="n">
        <f aca="false">IFERROR(('Income Statement'!J10)/('Income Statement'!J6),0)</f>
        <v>0.604468269908808</v>
      </c>
      <c r="K8" s="19" t="n">
        <f aca="false">IFERROR(('Income Statement'!K10)/('Income Statement'!K6),0)</f>
        <v>0.590363635471813</v>
      </c>
      <c r="L8" s="19" t="n">
        <f aca="false">Scenarios!B37</f>
        <v>0.585</v>
      </c>
      <c r="M8" s="19" t="n">
        <f aca="false">Scenarios!C37</f>
        <v>0.58</v>
      </c>
      <c r="N8" s="19" t="n">
        <f aca="false">Scenarios!D37</f>
        <v>0.575</v>
      </c>
      <c r="O8" s="19" t="n">
        <f aca="false">Scenarios!E37</f>
        <v>0.57</v>
      </c>
      <c r="P8" s="19" t="n">
        <f aca="false">Scenarios!F37</f>
        <v>0.565</v>
      </c>
    </row>
    <row r="9" customFormat="false" ht="15" hidden="false" customHeight="false" outlineLevel="0" collapsed="false">
      <c r="A9" s="31" t="s">
        <v>151</v>
      </c>
      <c r="B9" s="19" t="n">
        <f aca="false">IFERROR(('Income Statement'!B13)/('Income Statement'!B6),0)</f>
        <v>0.122825810044612</v>
      </c>
      <c r="C9" s="19" t="n">
        <f aca="false">IFERROR(('Income Statement'!C13)/('Income Statement'!C6),0)</f>
        <v>0.0745820880759095</v>
      </c>
      <c r="D9" s="19" t="n">
        <f aca="false">IFERROR(('Income Statement'!D13)/('Income Statement'!D6),0)</f>
        <v>0.118004400738094</v>
      </c>
      <c r="E9" s="19" t="n">
        <f aca="false">IFERROR(('Income Statement'!E13)/('Income Statement'!E6),0)</f>
        <v>0.162361545918621</v>
      </c>
      <c r="F9" s="19" t="n">
        <f aca="false">IFERROR(('Income Statement'!F13)/('Income Statement'!F6),0)</f>
        <v>0.15671256454389</v>
      </c>
      <c r="G9" s="19" t="n">
        <f aca="false">IFERROR(('Income Statement'!G13)/('Income Statement'!G6),0)</f>
        <v>0.107040275626957</v>
      </c>
      <c r="H9" s="19" t="n">
        <f aca="false">IFERROR(('Income Statement'!H13)/('Income Statement'!H6),0)</f>
        <v>0.0156872919555091</v>
      </c>
      <c r="I9" s="19" t="n">
        <f aca="false">IFERROR(('Income Statement'!I13)/('Income Statement'!I6),0)</f>
        <v>0.025104677700505</v>
      </c>
      <c r="J9" s="19" t="n">
        <f aca="false">IFERROR(('Income Statement'!J13)/('Income Statement'!J6),0)</f>
        <v>0.0590592456258882</v>
      </c>
      <c r="K9" s="19" t="n">
        <f aca="false">IFERROR(('Income Statement'!K13)/('Income Statement'!K6),0)</f>
        <v>0.0555489151241863</v>
      </c>
      <c r="L9" s="49" t="n">
        <v>0.046571</v>
      </c>
      <c r="M9" s="49" t="n">
        <v>0.046571</v>
      </c>
      <c r="N9" s="49" t="n">
        <v>0.046571</v>
      </c>
      <c r="O9" s="49" t="n">
        <v>0.046571</v>
      </c>
      <c r="P9" s="49" t="n">
        <v>0.046571</v>
      </c>
    </row>
    <row r="10" customFormat="false" ht="15" hidden="false" customHeight="false" outlineLevel="0" collapsed="false">
      <c r="A10" s="27" t="s">
        <v>152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31" t="s">
        <v>128</v>
      </c>
      <c r="B11" s="19" t="n">
        <f aca="false">IFERROR((Schedules!B7)/('Income Statement'!B6),0)</f>
        <v>0</v>
      </c>
      <c r="C11" s="19" t="n">
        <f aca="false">IFERROR((Schedules!C7)/('Income Statement'!C6),0)</f>
        <v>0.247716144894974</v>
      </c>
      <c r="D11" s="19" t="n">
        <f aca="false">IFERROR((Schedules!D7)/('Income Statement'!D6),0)</f>
        <v>0.62467873147443</v>
      </c>
      <c r="E11" s="19" t="n">
        <f aca="false">IFERROR((Schedules!E7)/('Income Statement'!E6),0)</f>
        <v>0.528369663448459</v>
      </c>
      <c r="F11" s="19" t="n">
        <f aca="false">IFERROR((Schedules!F7)/('Income Statement'!F6),0)</f>
        <v>1.40911184420221</v>
      </c>
      <c r="G11" s="19" t="n">
        <f aca="false">IFERROR((Schedules!G7)/('Income Statement'!G6),0)</f>
        <v>1.01416396836459</v>
      </c>
      <c r="H11" s="19" t="n">
        <f aca="false">IFERROR((Schedules!H7)/('Income Statement'!H6),0)</f>
        <v>0.628024962701259</v>
      </c>
      <c r="I11" s="19" t="n">
        <f aca="false">IFERROR((Schedules!I7)/('Income Statement'!I6),0)</f>
        <v>0.25505043698073</v>
      </c>
      <c r="J11" s="19" t="n">
        <f aca="false">IFERROR((Schedules!J7)/('Income Statement'!J6),0)</f>
        <v>0.618449086523427</v>
      </c>
      <c r="K11" s="19" t="n">
        <f aca="false">IFERROR((Schedules!K7)/('Income Statement'!K6),0)</f>
        <v>1.22763946605424</v>
      </c>
      <c r="L11" s="19" t="n">
        <f aca="false">Scenarios!B38</f>
        <v>0.31</v>
      </c>
      <c r="M11" s="19" t="n">
        <f aca="false">Scenarios!C38</f>
        <v>0.3</v>
      </c>
      <c r="N11" s="19" t="n">
        <f aca="false">Scenarios!D38</f>
        <v>0.29</v>
      </c>
      <c r="O11" s="19" t="n">
        <f aca="false">Scenarios!E38</f>
        <v>0.28</v>
      </c>
      <c r="P11" s="19" t="n">
        <f aca="false">Scenarios!F38</f>
        <v>0.26</v>
      </c>
    </row>
    <row r="12" customFormat="false" ht="15" hidden="false" customHeight="false" outlineLevel="0" collapsed="false">
      <c r="A12" s="31" t="s">
        <v>153</v>
      </c>
      <c r="B12" s="19" t="n">
        <f aca="false">IFERROR(('Income Statement'!B11)/(0),0)</f>
        <v>0</v>
      </c>
      <c r="C12" s="19" t="n">
        <f aca="false">IFERROR(('Income Statement'!C11)/('Balance Sheet'!B10),0)</f>
        <v>0.0564452466335764</v>
      </c>
      <c r="D12" s="19" t="n">
        <f aca="false">IFERROR(('Income Statement'!D11)/('Balance Sheet'!C10),0)</f>
        <v>0.0605857694813545</v>
      </c>
      <c r="E12" s="19" t="n">
        <f aca="false">IFERROR(('Income Statement'!E11)/('Balance Sheet'!D10),0)</f>
        <v>0.0597508945138617</v>
      </c>
      <c r="F12" s="19" t="n">
        <f aca="false">IFERROR(('Income Statement'!F11)/('Balance Sheet'!E10),0)</f>
        <v>0.0644160649204283</v>
      </c>
      <c r="G12" s="19" t="n">
        <f aca="false">IFERROR(('Income Statement'!G11)/('Balance Sheet'!F10),0)</f>
        <v>0.064179713967169</v>
      </c>
      <c r="H12" s="19" t="n">
        <f aca="false">IFERROR(('Income Statement'!H11)/('Balance Sheet'!G10),0)</f>
        <v>0.054749002924244</v>
      </c>
      <c r="I12" s="19" t="n">
        <f aca="false">IFERROR(('Income Statement'!I11)/('Balance Sheet'!H10),0)</f>
        <v>0.0538390913900459</v>
      </c>
      <c r="J12" s="19" t="n">
        <f aca="false">IFERROR(('Income Statement'!J11)/('Balance Sheet'!I10),0)</f>
        <v>0.058270893057296</v>
      </c>
      <c r="K12" s="19" t="n">
        <f aca="false">IFERROR(('Income Statement'!K11)/('Balance Sheet'!J10),0)</f>
        <v>0.0615666878532839</v>
      </c>
      <c r="L12" s="49" t="n">
        <v>0.057892</v>
      </c>
      <c r="M12" s="49" t="n">
        <v>0.057892</v>
      </c>
      <c r="N12" s="49" t="n">
        <v>0.057892</v>
      </c>
      <c r="O12" s="49" t="n">
        <v>0.057892</v>
      </c>
      <c r="P12" s="49" t="n">
        <v>0.057892</v>
      </c>
    </row>
    <row r="13" customFormat="false" ht="15" hidden="false" customHeight="false" outlineLevel="0" collapsed="false">
      <c r="A13" s="31" t="s">
        <v>154</v>
      </c>
      <c r="B13" s="19" t="n">
        <f aca="false">IFERROR(('Income Statement'!B11)/('Income Statement'!B6),0)</f>
        <v>0.137473857583819</v>
      </c>
      <c r="C13" s="19" t="n">
        <f aca="false">IFERROR(('Income Statement'!C11)/('Income Statement'!C6),0)</f>
        <v>0.104952238637247</v>
      </c>
      <c r="D13" s="19" t="n">
        <f aca="false">IFERROR(('Income Statement'!D11)/('Income Statement'!D6),0)</f>
        <v>0.125713930056822</v>
      </c>
      <c r="E13" s="19" t="n">
        <f aca="false">IFERROR(('Income Statement'!E11)/('Income Statement'!E6),0)</f>
        <v>0.141520263925</v>
      </c>
      <c r="F13" s="19" t="n">
        <f aca="false">IFERROR(('Income Statement'!F11)/('Income Statement'!F6),0)</f>
        <v>0.167920889908842</v>
      </c>
      <c r="G13" s="19" t="n">
        <f aca="false">IFERROR(('Income Statement'!G11)/('Income Statement'!G6),0)</f>
        <v>0.181046674443696</v>
      </c>
      <c r="H13" s="19" t="n">
        <f aca="false">IFERROR(('Income Statement'!H11)/('Income Statement'!H6),0)</f>
        <v>0.164239630806003</v>
      </c>
      <c r="I13" s="19" t="n">
        <f aca="false">IFERROR(('Income Statement'!I11)/('Income Statement'!I6),0)</f>
        <v>0.1455776292223</v>
      </c>
      <c r="J13" s="19" t="n">
        <f aca="false">IFERROR(('Income Statement'!J11)/('Income Statement'!J6),0)</f>
        <v>0.143687697557336</v>
      </c>
      <c r="K13" s="19" t="n">
        <f aca="false">IFERROR(('Income Statement'!K11)/('Income Statement'!K6),0)</f>
        <v>0.142436306287444</v>
      </c>
      <c r="L13" s="49" t="n">
        <v>0.145</v>
      </c>
      <c r="M13" s="49" t="n">
        <v>0.145</v>
      </c>
      <c r="N13" s="49" t="n">
        <v>0.148</v>
      </c>
      <c r="O13" s="49" t="n">
        <v>0.15</v>
      </c>
      <c r="P13" s="49" t="n">
        <v>0.152</v>
      </c>
    </row>
    <row r="14" customFormat="false" ht="15" hidden="false" customHeight="false" outlineLevel="0" collapsed="false">
      <c r="A14" s="31" t="s">
        <v>155</v>
      </c>
      <c r="B14" s="19" t="n">
        <f aca="false">IFERROR(('Balance Sheet'!B11)/('Income Statement'!B6),0)</f>
        <v>0.534871761450823</v>
      </c>
      <c r="C14" s="19" t="n">
        <f aca="false">IFERROR(('Balance Sheet'!C11)/('Income Statement'!C6),0)</f>
        <v>0.401437433321322</v>
      </c>
      <c r="D14" s="19" t="n">
        <f aca="false">IFERROR(('Balance Sheet'!D11)/('Income Statement'!D6),0)</f>
        <v>0.410370657840783</v>
      </c>
      <c r="E14" s="19" t="n">
        <f aca="false">IFERROR(('Balance Sheet'!E11)/('Income Statement'!E6),0)</f>
        <v>0.270892869325288</v>
      </c>
      <c r="F14" s="19" t="n">
        <f aca="false">IFERROR(('Balance Sheet'!F11)/('Income Statement'!F6),0)</f>
        <v>0.294601421559253</v>
      </c>
      <c r="G14" s="19" t="n">
        <f aca="false">IFERROR(('Balance Sheet'!G11)/('Income Statement'!G6),0)</f>
        <v>0.234999085799873</v>
      </c>
      <c r="H14" s="19" t="n">
        <f aca="false">IFERROR(('Balance Sheet'!H11)/('Income Statement'!H6),0)</f>
        <v>0.318281155059656</v>
      </c>
      <c r="I14" s="19" t="n">
        <f aca="false">IFERROR(('Balance Sheet'!I11)/('Income Statement'!I6),0)</f>
        <v>0.409429454118521</v>
      </c>
      <c r="J14" s="19" t="n">
        <f aca="false">IFERROR(('Balance Sheet'!J11)/('Income Statement'!J6),0)</f>
        <v>0.384117251560525</v>
      </c>
      <c r="K14" s="19" t="n">
        <f aca="false">IFERROR(('Balance Sheet'!K11)/('Income Statement'!K6),0)</f>
        <v>0.327579650540056</v>
      </c>
      <c r="L14" s="49" t="n">
        <v>0.373709</v>
      </c>
      <c r="M14" s="49" t="n">
        <v>0.373709</v>
      </c>
      <c r="N14" s="49" t="n">
        <v>0.373709</v>
      </c>
      <c r="O14" s="49" t="n">
        <v>0.373709</v>
      </c>
      <c r="P14" s="49" t="n">
        <v>0.373709</v>
      </c>
    </row>
    <row r="15" customFormat="false" ht="15" hidden="false" customHeight="false" outlineLevel="0" collapsed="false">
      <c r="A15" s="27" t="s">
        <v>156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customFormat="false" ht="15" hidden="false" customHeight="false" outlineLevel="0" collapsed="false">
      <c r="A16" s="31" t="s">
        <v>157</v>
      </c>
      <c r="B16" s="50" t="n">
        <f aca="false">(IFERROR(('Balance Sheet'!B7)/('Income Statement'!B6),0)*365)</f>
        <v>116.471215200223</v>
      </c>
      <c r="C16" s="50" t="n">
        <f aca="false">(IFERROR(('Balance Sheet'!C7)/('Income Statement'!C6),0)*365)</f>
        <v>138.931617704205</v>
      </c>
      <c r="D16" s="50" t="n">
        <f aca="false">(IFERROR(('Balance Sheet'!D7)/('Income Statement'!D6),0)*365)</f>
        <v>93.197701877453</v>
      </c>
      <c r="E16" s="50" t="n">
        <f aca="false">(IFERROR(('Balance Sheet'!E7)/('Income Statement'!E6),0)*365)</f>
        <v>98.4396706159401</v>
      </c>
      <c r="F16" s="50" t="n">
        <f aca="false">(IFERROR(('Balance Sheet'!F7)/('Income Statement'!F6),0)*365)</f>
        <v>85.0930826480525</v>
      </c>
      <c r="G16" s="50" t="n">
        <f aca="false">(IFERROR(('Balance Sheet'!G7)/('Income Statement'!G6),0)*365)</f>
        <v>53.754739674942</v>
      </c>
      <c r="H16" s="50" t="n">
        <f aca="false">(IFERROR(('Balance Sheet'!H7)/('Income Statement'!H6),0)*365)</f>
        <v>69.2661032010977</v>
      </c>
      <c r="I16" s="50" t="n">
        <f aca="false">(IFERROR(('Balance Sheet'!I7)/('Income Statement'!I6),0)*365)</f>
        <v>50.1087622273737</v>
      </c>
      <c r="J16" s="50" t="n">
        <f aca="false">(IFERROR(('Balance Sheet'!J7)/('Income Statement'!J6),0)*365)</f>
        <v>53.0859354107076</v>
      </c>
      <c r="K16" s="50" t="n">
        <f aca="false">(IFERROR(('Balance Sheet'!K7)/('Income Statement'!K6),0)*365)</f>
        <v>60.1414945410921</v>
      </c>
      <c r="L16" s="51" t="n">
        <v>58</v>
      </c>
      <c r="M16" s="51" t="n">
        <v>58</v>
      </c>
      <c r="N16" s="51" t="n">
        <v>58</v>
      </c>
      <c r="O16" s="51" t="n">
        <v>58</v>
      </c>
      <c r="P16" s="51" t="n">
        <v>58</v>
      </c>
    </row>
    <row r="17" customFormat="false" ht="15" hidden="false" customHeight="false" outlineLevel="0" collapsed="false">
      <c r="A17" s="31" t="s">
        <v>158</v>
      </c>
      <c r="B17" s="50" t="n">
        <f aca="false">(IFERROR(('Balance Sheet'!B8)/('Income Statement'!B7),0)*365)</f>
        <v>108.173939516947</v>
      </c>
      <c r="C17" s="50" t="n">
        <f aca="false">(IFERROR(('Balance Sheet'!C8)/('Income Statement'!C7),0)*365)</f>
        <v>57.7997948611813</v>
      </c>
      <c r="D17" s="50" t="n">
        <f aca="false">(IFERROR(('Balance Sheet'!D8)/('Income Statement'!D7),0)*365)</f>
        <v>104.331165955034</v>
      </c>
      <c r="E17" s="50" t="n">
        <f aca="false">(IFERROR(('Balance Sheet'!E8)/('Income Statement'!E7),0)*365)</f>
        <v>33.2265592188985</v>
      </c>
      <c r="F17" s="50" t="n">
        <f aca="false">(IFERROR(('Balance Sheet'!F8)/('Income Statement'!F7),0)*365)</f>
        <v>108.732617510137</v>
      </c>
      <c r="G17" s="50" t="n">
        <f aca="false">(IFERROR(('Balance Sheet'!G8)/('Income Statement'!G7),0)*365)</f>
        <v>29.1939197781071</v>
      </c>
      <c r="H17" s="50" t="n">
        <f aca="false">(IFERROR(('Balance Sheet'!H8)/('Income Statement'!H7),0)*365)</f>
        <v>28.6022244568892</v>
      </c>
      <c r="I17" s="50" t="n">
        <f aca="false">(IFERROR(('Balance Sheet'!I8)/('Income Statement'!I7),0)*365)</f>
        <v>21.945846961493</v>
      </c>
      <c r="J17" s="50" t="n">
        <f aca="false">(IFERROR(('Balance Sheet'!J8)/('Income Statement'!J7),0)*365)</f>
        <v>23.0269990557403</v>
      </c>
      <c r="K17" s="50" t="n">
        <f aca="false">(IFERROR(('Balance Sheet'!K8)/('Income Statement'!K7),0)*365)</f>
        <v>21.6793203432274</v>
      </c>
      <c r="L17" s="51" t="n">
        <v>21.7</v>
      </c>
      <c r="M17" s="51" t="n">
        <v>21.7</v>
      </c>
      <c r="N17" s="51" t="n">
        <v>21.7</v>
      </c>
      <c r="O17" s="51" t="n">
        <v>21.7</v>
      </c>
      <c r="P17" s="51" t="n">
        <v>21.7</v>
      </c>
    </row>
    <row r="18" customFormat="false" ht="15" hidden="false" customHeight="false" outlineLevel="0" collapsed="false">
      <c r="A18" s="31" t="s">
        <v>159</v>
      </c>
      <c r="B18" s="50" t="n">
        <f aca="false">(IFERROR(('Balance Sheet'!B20)/('Income Statement'!B7),0)*365)</f>
        <v>0</v>
      </c>
      <c r="C18" s="50" t="n">
        <f aca="false">(IFERROR(('Balance Sheet'!C20)/('Income Statement'!C7),0)*365)</f>
        <v>0</v>
      </c>
      <c r="D18" s="50" t="n">
        <f aca="false">(IFERROR(('Balance Sheet'!D20)/('Income Statement'!D7),0)*365)</f>
        <v>0</v>
      </c>
      <c r="E18" s="50" t="n">
        <f aca="false">(IFERROR(('Balance Sheet'!E20)/('Income Statement'!E7),0)*365)</f>
        <v>0</v>
      </c>
      <c r="F18" s="50" t="n">
        <f aca="false">(IFERROR(('Balance Sheet'!F20)/('Income Statement'!F7),0)*365)</f>
        <v>0</v>
      </c>
      <c r="G18" s="50" t="n">
        <f aca="false">(IFERROR(('Balance Sheet'!G20)/('Income Statement'!G7),0)*365)</f>
        <v>0</v>
      </c>
      <c r="H18" s="50" t="n">
        <f aca="false">(IFERROR(('Balance Sheet'!H20)/('Income Statement'!H7),0)*365)</f>
        <v>0</v>
      </c>
      <c r="I18" s="50" t="n">
        <f aca="false">(IFERROR(('Balance Sheet'!I20)/('Income Statement'!I7),0)*365)</f>
        <v>0</v>
      </c>
      <c r="J18" s="50" t="n">
        <f aca="false">(IFERROR(('Balance Sheet'!J20)/('Income Statement'!J7),0)*365)</f>
        <v>120.055482811693</v>
      </c>
      <c r="K18" s="50" t="n">
        <f aca="false">(IFERROR(('Balance Sheet'!K20)/('Income Statement'!K7),0)*365)</f>
        <v>86.598282475843</v>
      </c>
      <c r="L18" s="51" t="n">
        <v>86.6</v>
      </c>
      <c r="M18" s="51" t="n">
        <v>86.6</v>
      </c>
      <c r="N18" s="51" t="n">
        <v>86.6</v>
      </c>
      <c r="O18" s="51" t="n">
        <v>86.6</v>
      </c>
      <c r="P18" s="51" t="n">
        <v>86.6</v>
      </c>
    </row>
    <row r="19" customFormat="false" ht="15" hidden="false" customHeight="false" outlineLevel="0" collapsed="false">
      <c r="A19" s="31" t="s">
        <v>160</v>
      </c>
      <c r="B19" s="19" t="n">
        <f aca="false">IFERROR(('Balance Sheet'!B9)/('Income Statement'!B6),0)</f>
        <v>1.34058428670454</v>
      </c>
      <c r="C19" s="19" t="n">
        <f aca="false">IFERROR(('Balance Sheet'!C9)/('Income Statement'!C6),0)</f>
        <v>0.983892904328903</v>
      </c>
      <c r="D19" s="19" t="n">
        <f aca="false">IFERROR(('Balance Sheet'!D9)/('Income Statement'!D6),0)</f>
        <v>1.22288804844473</v>
      </c>
      <c r="E19" s="19" t="n">
        <f aca="false">IFERROR(('Balance Sheet'!E9)/('Income Statement'!E6),0)</f>
        <v>1.17944053222966</v>
      </c>
      <c r="F19" s="19" t="n">
        <f aca="false">IFERROR(('Balance Sheet'!F9)/('Income Statement'!F6),0)</f>
        <v>0.93543618920125</v>
      </c>
      <c r="G19" s="19" t="n">
        <f aca="false">IFERROR(('Balance Sheet'!G9)/('Income Statement'!G6),0)</f>
        <v>0.876653081204922</v>
      </c>
      <c r="H19" s="19" t="n">
        <f aca="false">IFERROR(('Balance Sheet'!H9)/('Income Statement'!H6),0)</f>
        <v>0.840579591989415</v>
      </c>
      <c r="I19" s="19" t="n">
        <f aca="false">IFERROR(('Balance Sheet'!I9)/('Income Statement'!I6),0)</f>
        <v>0.557469030975015</v>
      </c>
      <c r="J19" s="19" t="n">
        <f aca="false">IFERROR(('Balance Sheet'!J9)/('Income Statement'!J6),0)</f>
        <v>0.521754809545951</v>
      </c>
      <c r="K19" s="19" t="n">
        <f aca="false">IFERROR(('Balance Sheet'!K9)/('Income Statement'!K6),0)</f>
        <v>0.458420731019417</v>
      </c>
      <c r="L19" s="49" t="n">
        <v>0.512548</v>
      </c>
      <c r="M19" s="49" t="n">
        <v>0.512548</v>
      </c>
      <c r="N19" s="49" t="n">
        <v>0.512548</v>
      </c>
      <c r="O19" s="49" t="n">
        <v>0.512548</v>
      </c>
      <c r="P19" s="49" t="n">
        <v>0.512548</v>
      </c>
    </row>
    <row r="20" customFormat="false" ht="15" hidden="false" customHeight="false" outlineLevel="0" collapsed="false">
      <c r="A20" s="31" t="s">
        <v>161</v>
      </c>
      <c r="B20" s="19" t="n">
        <f aca="false">IFERROR(('Balance Sheet'!B21)/('Income Statement'!B6),0)</f>
        <v>0.430024824186697</v>
      </c>
      <c r="C20" s="19" t="n">
        <f aca="false">IFERROR(('Balance Sheet'!C21)/('Income Statement'!C6),0)</f>
        <v>0.349708026876365</v>
      </c>
      <c r="D20" s="19" t="n">
        <f aca="false">IFERROR(('Balance Sheet'!D21)/('Income Statement'!D6),0)</f>
        <v>0.386947344912425</v>
      </c>
      <c r="E20" s="19" t="n">
        <f aca="false">IFERROR(('Balance Sheet'!E21)/('Income Statement'!E6),0)</f>
        <v>0.523657318621048</v>
      </c>
      <c r="F20" s="19" t="n">
        <f aca="false">IFERROR(('Balance Sheet'!F21)/('Income Statement'!F6),0)</f>
        <v>0.660170045260407</v>
      </c>
      <c r="G20" s="19" t="n">
        <f aca="false">IFERROR(('Balance Sheet'!G21)/('Income Statement'!G6),0)</f>
        <v>0.500710038501553</v>
      </c>
      <c r="H20" s="19" t="n">
        <f aca="false">IFERROR(('Balance Sheet'!H21)/('Income Statement'!H6),0)</f>
        <v>0.658912301079374</v>
      </c>
      <c r="I20" s="19" t="n">
        <f aca="false">IFERROR(('Balance Sheet'!I21)/('Income Statement'!I6),0)</f>
        <v>0.552243008008817</v>
      </c>
      <c r="J20" s="19" t="n">
        <f aca="false">IFERROR(('Balance Sheet'!J21)/('Income Statement'!J6),0)</f>
        <v>0.552333969804429</v>
      </c>
      <c r="K20" s="19" t="n">
        <f aca="false">IFERROR(('Balance Sheet'!K21)/('Income Statement'!K6),0)</f>
        <v>0.537952388709454</v>
      </c>
      <c r="L20" s="49" t="n">
        <v>0.54751</v>
      </c>
      <c r="M20" s="49" t="n">
        <v>0.54751</v>
      </c>
      <c r="N20" s="49" t="n">
        <v>0.54751</v>
      </c>
      <c r="O20" s="49" t="n">
        <v>0.54751</v>
      </c>
      <c r="P20" s="49" t="n">
        <v>0.54751</v>
      </c>
    </row>
    <row r="21" customFormat="false" ht="15" hidden="false" customHeight="false" outlineLevel="0" collapsed="false">
      <c r="A21" s="27" t="s">
        <v>162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customFormat="false" ht="15" hidden="false" customHeight="false" outlineLevel="0" collapsed="false">
      <c r="A22" s="31" t="s">
        <v>129</v>
      </c>
      <c r="B22" s="19" t="n">
        <f aca="false">IFERROR(('Income Statement'!B17)/('Income Statement'!B16),0)</f>
        <v>0.0639766252599387</v>
      </c>
      <c r="C22" s="19" t="n">
        <f aca="false">IFERROR(('Income Statement'!C17)/('Income Statement'!C16),0)</f>
        <v>0.298141238371993</v>
      </c>
      <c r="D22" s="19" t="n">
        <f aca="false">IFERROR(('Income Statement'!D17)/('Income Statement'!D16),0)</f>
        <v>0.221605783598831</v>
      </c>
      <c r="E22" s="19" t="n">
        <f aca="false">IFERROR(('Income Statement'!E17)/('Income Statement'!E16),0)</f>
        <v>0.113289128918547</v>
      </c>
      <c r="F22" s="19" t="n">
        <f aca="false">IFERROR(('Income Statement'!F17)/('Income Statement'!F16),0)</f>
        <v>0.20624728822745</v>
      </c>
      <c r="G22" s="19" t="n">
        <f aca="false">IFERROR(('Income Statement'!G17)/('Income Statement'!G16),0)</f>
        <v>0.145371636867385</v>
      </c>
      <c r="H22" s="19" t="n">
        <f aca="false">IFERROR(('Income Statement'!H17)/('Income Statement'!H16),0)</f>
        <v>0.0324482539289105</v>
      </c>
      <c r="I22" s="19" t="n">
        <f aca="false">IFERROR(('Income Statement'!I17)/('Income Statement'!I16),0)</f>
        <v>0.158522477919442</v>
      </c>
      <c r="J22" s="19" t="n">
        <f aca="false">IFERROR(('Income Statement'!J17)/('Income Statement'!J16),0)</f>
        <v>0.148685072933823</v>
      </c>
      <c r="K22" s="19" t="n">
        <f aca="false">IFERROR(('Income Statement'!K17)/('Income Statement'!K16),0)</f>
        <v>0.1375453242604</v>
      </c>
      <c r="L22" s="19" t="n">
        <f aca="false">Scenarios!B39</f>
        <v>0.185</v>
      </c>
      <c r="M22" s="19" t="n">
        <f aca="false">Scenarios!C39</f>
        <v>0.185</v>
      </c>
      <c r="N22" s="19" t="n">
        <f aca="false">Scenarios!D39</f>
        <v>0.185</v>
      </c>
      <c r="O22" s="19" t="n">
        <f aca="false">Scenarios!E39</f>
        <v>0.185</v>
      </c>
      <c r="P22" s="19" t="n">
        <f aca="false">Scenarios!F39</f>
        <v>0.185</v>
      </c>
    </row>
    <row r="23" customFormat="false" ht="15" hidden="false" customHeight="false" outlineLevel="0" collapsed="false">
      <c r="A23" s="31" t="s">
        <v>163</v>
      </c>
      <c r="B23" s="19" t="n">
        <f aca="false">IFERROR(('Income Statement'!B14)/(AVERAGE(0,'Balance Sheet'!B19)),0)</f>
        <v>0.100452592163772</v>
      </c>
      <c r="C23" s="19" t="n">
        <f aca="false">IFERROR(('Income Statement'!C14)/(AVERAGE('Balance Sheet'!B19,'Balance Sheet'!C19)),0)</f>
        <v>0.070816857055062</v>
      </c>
      <c r="D23" s="19" t="n">
        <f aca="false">IFERROR(('Income Statement'!D14)/(AVERAGE('Balance Sheet'!C19,'Balance Sheet'!D19)),0)</f>
        <v>0.0553173442211687</v>
      </c>
      <c r="E23" s="19" t="n">
        <f aca="false">IFERROR(('Income Statement'!E14)/(AVERAGE('Balance Sheet'!D19,'Balance Sheet'!E19)),0)</f>
        <v>0.0673170001100876</v>
      </c>
      <c r="F23" s="19" t="n">
        <f aca="false">IFERROR(('Income Statement'!F14)/(AVERAGE('Balance Sheet'!E19,'Balance Sheet'!F19)),0)</f>
        <v>0.0682411553209532</v>
      </c>
      <c r="G23" s="19" t="n">
        <f aca="false">IFERROR(('Income Statement'!G14)/(AVERAGE('Balance Sheet'!F19,'Balance Sheet'!G19)),0)</f>
        <v>0.0607212691526252</v>
      </c>
      <c r="H23" s="19" t="n">
        <f aca="false">IFERROR(('Income Statement'!H14)/(AVERAGE('Balance Sheet'!G19,'Balance Sheet'!H19)),0)</f>
        <v>0.0466146592986</v>
      </c>
      <c r="I23" s="19" t="n">
        <f aca="false">IFERROR(('Income Statement'!I14)/(AVERAGE('Balance Sheet'!H19,'Balance Sheet'!I19)),0)</f>
        <v>0.0531160651345918</v>
      </c>
      <c r="J23" s="19" t="n">
        <f aca="false">IFERROR(('Income Statement'!J14)/(AVERAGE('Balance Sheet'!I19,'Balance Sheet'!J19)),0)</f>
        <v>0.0556463153929575</v>
      </c>
      <c r="K23" s="19" t="n">
        <f aca="false">IFERROR(('Income Statement'!K14)/(AVERAGE('Balance Sheet'!J19,'Balance Sheet'!K19)),0)</f>
        <v>0.0808079089301023</v>
      </c>
      <c r="L23" s="49" t="n">
        <v>0.08</v>
      </c>
      <c r="M23" s="49" t="n">
        <v>0.08</v>
      </c>
      <c r="N23" s="49" t="n">
        <v>0.08</v>
      </c>
      <c r="O23" s="49" t="n">
        <v>0.08</v>
      </c>
      <c r="P23" s="49" t="n">
        <v>0.08</v>
      </c>
    </row>
    <row r="24" customFormat="false" ht="15" hidden="false" customHeight="false" outlineLevel="0" collapsed="false">
      <c r="A24" s="31" t="s">
        <v>164</v>
      </c>
      <c r="B24" s="15" t="n">
        <f aca="false">0</f>
        <v>0</v>
      </c>
      <c r="C24" s="15" t="n">
        <f aca="false">0</f>
        <v>0</v>
      </c>
      <c r="D24" s="15" t="n">
        <f aca="false">0</f>
        <v>0</v>
      </c>
      <c r="E24" s="15" t="n">
        <f aca="false">0</f>
        <v>0</v>
      </c>
      <c r="F24" s="15" t="n">
        <f aca="false">0</f>
        <v>0</v>
      </c>
      <c r="G24" s="15" t="n">
        <f aca="false">0</f>
        <v>0</v>
      </c>
      <c r="H24" s="15" t="n">
        <f aca="false">0</f>
        <v>0</v>
      </c>
      <c r="I24" s="15" t="n">
        <f aca="false">0</f>
        <v>0</v>
      </c>
      <c r="J24" s="15" t="n">
        <f aca="false">0</f>
        <v>0</v>
      </c>
      <c r="K24" s="15" t="n">
        <f aca="false">0</f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</row>
    <row r="25" customFormat="false" ht="15" hidden="false" customHeight="false" outlineLevel="0" collapsed="false">
      <c r="A25" s="31" t="s">
        <v>165</v>
      </c>
      <c r="B25" s="19" t="n">
        <f aca="false">(IFERROR(('Balance Sheet'!B17)/(0),0)-1)</f>
        <v>-1</v>
      </c>
      <c r="C25" s="19" t="n">
        <f aca="false">(IFERROR(('Balance Sheet'!C17)/('Balance Sheet'!B17),0)-1)</f>
        <v>0.00701261261910147</v>
      </c>
      <c r="D25" s="19" t="n">
        <f aca="false">(IFERROR(('Balance Sheet'!D17)/('Balance Sheet'!C17),0)-1)</f>
        <v>0.238779188593315</v>
      </c>
      <c r="E25" s="19" t="n">
        <f aca="false">(IFERROR(('Balance Sheet'!E17)/('Balance Sheet'!D17),0)-1)</f>
        <v>0.091325851973582</v>
      </c>
      <c r="F25" s="19" t="n">
        <f aca="false">(IFERROR(('Balance Sheet'!F17)/('Balance Sheet'!E17),0)-1)</f>
        <v>0.185601170809647</v>
      </c>
      <c r="G25" s="19" t="n">
        <f aca="false">(IFERROR(('Balance Sheet'!G17)/('Balance Sheet'!F17),0)-1)</f>
        <v>0.336893287553064</v>
      </c>
      <c r="H25" s="19" t="n">
        <f aca="false">(IFERROR(('Balance Sheet'!H17)/('Balance Sheet'!G17),0)-1)</f>
        <v>0.11472825038203</v>
      </c>
      <c r="I25" s="19" t="n">
        <f aca="false">(IFERROR(('Balance Sheet'!I17)/('Balance Sheet'!H17),0)-1)</f>
        <v>-0.0741842961308316</v>
      </c>
      <c r="J25" s="19" t="n">
        <f aca="false">(IFERROR(('Balance Sheet'!J17)/('Balance Sheet'!I17),0)-1)</f>
        <v>0.0434703773420142</v>
      </c>
      <c r="K25" s="19" t="n">
        <f aca="false">(IFERROR(('Balance Sheet'!K17)/('Balance Sheet'!J17),0)-1)</f>
        <v>0.231395216611621</v>
      </c>
      <c r="L25" s="49" t="n">
        <v>0.066894</v>
      </c>
      <c r="M25" s="49" t="n">
        <v>0.066894</v>
      </c>
      <c r="N25" s="49" t="n">
        <v>0.066894</v>
      </c>
      <c r="O25" s="49" t="n">
        <v>0.066894</v>
      </c>
      <c r="P25" s="49" t="n">
        <v>0.066894</v>
      </c>
    </row>
    <row r="26" customFormat="false" ht="15" hidden="false" customHeight="false" outlineLevel="0" collapsed="false">
      <c r="A26" s="31" t="s">
        <v>166</v>
      </c>
      <c r="B26" s="52" t="n">
        <f aca="false">0</f>
        <v>0</v>
      </c>
      <c r="C26" s="52" t="n">
        <f aca="false">0</f>
        <v>0</v>
      </c>
      <c r="D26" s="52" t="n">
        <f aca="false">0</f>
        <v>0</v>
      </c>
      <c r="E26" s="52" t="n">
        <f aca="false">0</f>
        <v>0</v>
      </c>
      <c r="F26" s="52" t="n">
        <f aca="false">0</f>
        <v>0</v>
      </c>
      <c r="G26" s="52" t="n">
        <f aca="false">0</f>
        <v>0</v>
      </c>
      <c r="H26" s="52" t="n">
        <f aca="false">0</f>
        <v>0</v>
      </c>
      <c r="I26" s="52" t="n">
        <f aca="false">0</f>
        <v>0</v>
      </c>
      <c r="J26" s="52" t="n">
        <f aca="false">0</f>
        <v>0</v>
      </c>
      <c r="K26" s="52" t="n">
        <f aca="false">0</f>
        <v>0</v>
      </c>
      <c r="L26" s="53" t="n">
        <v>0</v>
      </c>
      <c r="M26" s="53" t="n">
        <v>0</v>
      </c>
      <c r="N26" s="53" t="n">
        <v>0</v>
      </c>
      <c r="O26" s="53" t="n">
        <v>0</v>
      </c>
      <c r="P26" s="53" t="n">
        <v>0</v>
      </c>
    </row>
    <row r="27" customFormat="false" ht="15" hidden="false" customHeight="false" outlineLevel="0" collapsed="false">
      <c r="A27" s="31" t="s">
        <v>167</v>
      </c>
      <c r="B27" s="52" t="n">
        <f aca="false">0</f>
        <v>0</v>
      </c>
      <c r="C27" s="52" t="n">
        <f aca="false">0</f>
        <v>0</v>
      </c>
      <c r="D27" s="52" t="n">
        <f aca="false">0</f>
        <v>0</v>
      </c>
      <c r="E27" s="52" t="n">
        <f aca="false">0</f>
        <v>0</v>
      </c>
      <c r="F27" s="52" t="n">
        <f aca="false">0</f>
        <v>0</v>
      </c>
      <c r="G27" s="52" t="n">
        <f aca="false">0</f>
        <v>0</v>
      </c>
      <c r="H27" s="52" t="n">
        <f aca="false">0</f>
        <v>0</v>
      </c>
      <c r="I27" s="52" t="n">
        <f aca="false">0</f>
        <v>0</v>
      </c>
      <c r="J27" s="52" t="n">
        <f aca="false">0</f>
        <v>0</v>
      </c>
      <c r="K27" s="52" t="n">
        <f aca="false">0</f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53" t="n">
        <v>0</v>
      </c>
    </row>
    <row r="28" customFormat="false" ht="15" hidden="false" customHeight="false" outlineLevel="0" collapsed="false">
      <c r="A28" s="31" t="s">
        <v>168</v>
      </c>
      <c r="B28" s="19" t="n">
        <f aca="false">IFERROR((Schedules!B22)/('Income Statement'!B18),0)</f>
        <v>0.0688274634924531</v>
      </c>
      <c r="C28" s="19" t="n">
        <f aca="false">IFERROR((Schedules!C22)/('Income Statement'!C18),0)</f>
        <v>0.112747099591139</v>
      </c>
      <c r="D28" s="19" t="n">
        <f aca="false">IFERROR((Schedules!D22)/('Income Statement'!D18),0)</f>
        <v>0.0103803800291713</v>
      </c>
      <c r="E28" s="19" t="n">
        <f aca="false">IFERROR((Schedules!E22)/('Income Statement'!E18),0)</f>
        <v>0.172771070890456</v>
      </c>
      <c r="F28" s="19" t="n">
        <f aca="false">IFERROR((Schedules!F22)/('Income Statement'!F18),0)</f>
        <v>0.203407884988887</v>
      </c>
      <c r="G28" s="19" t="n">
        <f aca="false">IFERROR((Schedules!G22)/('Income Statement'!G18),0)</f>
        <v>0.216163224540169</v>
      </c>
      <c r="H28" s="19" t="n">
        <f aca="false">IFERROR((Schedules!H22)/('Income Statement'!H18),0)</f>
        <v>0.203448957872232</v>
      </c>
      <c r="I28" s="19" t="n">
        <f aca="false">IFERROR((Schedules!I22)/('Income Statement'!I18),0)</f>
        <v>0.15980119941213</v>
      </c>
      <c r="J28" s="19" t="n">
        <f aca="false">IFERROR((Schedules!J22)/('Income Statement'!J18),0)</f>
        <v>0.136319666507698</v>
      </c>
      <c r="K28" s="19" t="n">
        <f aca="false">IFERROR((Schedules!K22)/('Income Statement'!K18),0)</f>
        <v>0.134931412182059</v>
      </c>
      <c r="L28" s="49" t="n">
        <v>0.143684</v>
      </c>
      <c r="M28" s="49" t="n">
        <v>0.143684</v>
      </c>
      <c r="N28" s="49" t="n">
        <v>0.143684</v>
      </c>
      <c r="O28" s="49" t="n">
        <v>0.143684</v>
      </c>
      <c r="P28" s="49" t="n">
        <v>0.143684</v>
      </c>
    </row>
    <row r="29" customFormat="false" ht="15" hidden="false" customHeight="false" outlineLevel="0" collapsed="false">
      <c r="A29" s="31" t="s">
        <v>169</v>
      </c>
      <c r="B29" s="52" t="n">
        <f aca="false">0</f>
        <v>0</v>
      </c>
      <c r="C29" s="52" t="n">
        <f aca="false">0</f>
        <v>0</v>
      </c>
      <c r="D29" s="52" t="n">
        <f aca="false">0</f>
        <v>0</v>
      </c>
      <c r="E29" s="52" t="n">
        <f aca="false">0</f>
        <v>0</v>
      </c>
      <c r="F29" s="52" t="n">
        <f aca="false">0</f>
        <v>0</v>
      </c>
      <c r="G29" s="52" t="n">
        <f aca="false">0</f>
        <v>0</v>
      </c>
      <c r="H29" s="52" t="n">
        <f aca="false">0</f>
        <v>0</v>
      </c>
      <c r="I29" s="52" t="n">
        <f aca="false">0</f>
        <v>0</v>
      </c>
      <c r="J29" s="52" t="n">
        <f aca="false">0</f>
        <v>0</v>
      </c>
      <c r="K29" s="52" t="n">
        <f aca="false">0</f>
        <v>0</v>
      </c>
      <c r="L29" s="53" t="n">
        <v>0</v>
      </c>
      <c r="M29" s="53" t="n">
        <v>0</v>
      </c>
      <c r="N29" s="53" t="n">
        <v>0</v>
      </c>
      <c r="O29" s="53" t="n">
        <v>0</v>
      </c>
      <c r="P29" s="53" t="n">
        <v>0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171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6" t="s">
        <v>9</v>
      </c>
      <c r="B6" s="54" t="n">
        <v>8439.35</v>
      </c>
      <c r="C6" s="54" t="n">
        <v>11322.96</v>
      </c>
      <c r="D6" s="54" t="n">
        <v>10925.44</v>
      </c>
      <c r="E6" s="54" t="n">
        <v>11873.07</v>
      </c>
      <c r="F6" s="54" t="n">
        <v>12549.6</v>
      </c>
      <c r="G6" s="54" t="n">
        <v>17118.79</v>
      </c>
      <c r="H6" s="54" t="n">
        <v>20851.91</v>
      </c>
      <c r="I6" s="54" t="n">
        <v>26710.56</v>
      </c>
      <c r="J6" s="54" t="n">
        <v>30475.33</v>
      </c>
      <c r="K6" s="54" t="n">
        <v>38735.77</v>
      </c>
      <c r="L6" s="30" t="n">
        <f aca="false">(K6*(1+Drivers!L6))</f>
        <v>47021.351203</v>
      </c>
      <c r="M6" s="30" t="n">
        <f aca="false">(L6*(1+Drivers!M6))</f>
        <v>53143.5311296306</v>
      </c>
      <c r="N6" s="30" t="n">
        <f aca="false">(M6*(1+Drivers!N6))</f>
        <v>60833.4000840882</v>
      </c>
      <c r="O6" s="30" t="n">
        <f aca="false">(N6*(1+Drivers!O6))</f>
        <v>69842.8266365416</v>
      </c>
      <c r="P6" s="30" t="n">
        <f aca="false">(O6*(1+Drivers!P6))</f>
        <v>78286.8243768995</v>
      </c>
    </row>
    <row r="7" customFormat="false" ht="15" hidden="false" customHeight="false" outlineLevel="0" collapsed="false">
      <c r="A7" s="31" t="s">
        <v>172</v>
      </c>
      <c r="B7" s="55" t="n">
        <v>2217.15</v>
      </c>
      <c r="C7" s="55" t="n">
        <v>3285.58</v>
      </c>
      <c r="D7" s="55" t="n">
        <v>2822.15</v>
      </c>
      <c r="E7" s="55" t="n">
        <v>3166.81</v>
      </c>
      <c r="F7" s="55" t="n">
        <v>3329.5</v>
      </c>
      <c r="G7" s="55" t="n">
        <v>4946.53</v>
      </c>
      <c r="H7" s="55" t="n">
        <v>5767.7</v>
      </c>
      <c r="I7" s="55" t="n">
        <v>7276.6</v>
      </c>
      <c r="J7" s="55" t="n">
        <v>8271.03</v>
      </c>
      <c r="K7" s="55" t="n">
        <v>11532.88</v>
      </c>
      <c r="L7" s="33" t="n">
        <f aca="false">(L6*(1-Drivers!L7))</f>
        <v>14012.362658494</v>
      </c>
      <c r="M7" s="33" t="n">
        <f aca="false">(M6*(1-Drivers!M7))</f>
        <v>15836.7722766299</v>
      </c>
      <c r="N7" s="33" t="n">
        <f aca="false">(N6*(1-Drivers!N7))</f>
        <v>18128.3532250583</v>
      </c>
      <c r="O7" s="33" t="n">
        <f aca="false">(O6*(1-Drivers!O7))</f>
        <v>20813.1623376894</v>
      </c>
      <c r="P7" s="33" t="n">
        <f aca="false">(P6*(1-Drivers!P7))</f>
        <v>23329.4736643161</v>
      </c>
    </row>
    <row r="8" customFormat="false" ht="15" hidden="false" customHeight="false" outlineLevel="0" collapsed="false">
      <c r="A8" s="8" t="s">
        <v>173</v>
      </c>
      <c r="B8" s="56" t="n">
        <f aca="false">(B6-B7)</f>
        <v>6222.2</v>
      </c>
      <c r="C8" s="56" t="n">
        <f aca="false">(C6-C7)</f>
        <v>8037.38</v>
      </c>
      <c r="D8" s="56" t="n">
        <f aca="false">(D6-D7)</f>
        <v>8103.29</v>
      </c>
      <c r="E8" s="56" t="n">
        <f aca="false">(E6-E7)</f>
        <v>8706.26</v>
      </c>
      <c r="F8" s="56" t="n">
        <f aca="false">(F6-F7)</f>
        <v>9220.1</v>
      </c>
      <c r="G8" s="56" t="n">
        <f aca="false">(G6-G7)</f>
        <v>12172.26</v>
      </c>
      <c r="H8" s="56" t="n">
        <f aca="false">(H6-H7)</f>
        <v>15084.21</v>
      </c>
      <c r="I8" s="56" t="n">
        <f aca="false">(I6-I7)</f>
        <v>19433.96</v>
      </c>
      <c r="J8" s="56" t="n">
        <f aca="false">(J6-J7)</f>
        <v>22204.3</v>
      </c>
      <c r="K8" s="56" t="n">
        <f aca="false">(K6-K7)</f>
        <v>27202.89</v>
      </c>
      <c r="L8" s="57" t="n">
        <f aca="false">(L6-L7)</f>
        <v>33008.988544506</v>
      </c>
      <c r="M8" s="57" t="n">
        <f aca="false">(M6-M7)</f>
        <v>37306.7588530007</v>
      </c>
      <c r="N8" s="57" t="n">
        <f aca="false">(N6-N7)</f>
        <v>42705.0468590299</v>
      </c>
      <c r="O8" s="57" t="n">
        <f aca="false">(O6-O7)</f>
        <v>49029.6642988522</v>
      </c>
      <c r="P8" s="57" t="n">
        <f aca="false">(P6-P7)</f>
        <v>54957.3507125834</v>
      </c>
    </row>
    <row r="9" customFormat="false" ht="15" hidden="false" customHeight="false" outlineLevel="0" collapsed="false">
      <c r="A9" s="31" t="s">
        <v>174</v>
      </c>
      <c r="B9" s="52" t="n">
        <f aca="false">(B8-B10)</f>
        <v>803.970000000001</v>
      </c>
      <c r="C9" s="52" t="n">
        <f aca="false">(C8-C10)</f>
        <v>880.709999999999</v>
      </c>
      <c r="D9" s="52" t="n">
        <f aca="false">(D8-D10)</f>
        <v>1507.65</v>
      </c>
      <c r="E9" s="52" t="n">
        <f aca="false">(E8-E10)</f>
        <v>2759.15</v>
      </c>
      <c r="F9" s="52" t="n">
        <f aca="false">(F8-F10)</f>
        <v>532.140000000001</v>
      </c>
      <c r="G9" s="52" t="n">
        <f aca="false">(G8-G10)</f>
        <v>2644.3</v>
      </c>
      <c r="H9" s="52" t="n">
        <f aca="false">(H8-H10)</f>
        <v>4137.08</v>
      </c>
      <c r="I9" s="52" t="n">
        <f aca="false">(I8-I10)</f>
        <v>3844.55</v>
      </c>
      <c r="J9" s="52" t="n">
        <f aca="false">(J8-J10)</f>
        <v>3782.93</v>
      </c>
      <c r="K9" s="52" t="n">
        <f aca="false">(K8-K10)</f>
        <v>4334.7</v>
      </c>
      <c r="L9" s="58" t="n">
        <f aca="false">(L8-L10)</f>
        <v>5501.498090751</v>
      </c>
      <c r="M9" s="58" t="n">
        <f aca="false">(M8-M10)</f>
        <v>6483.51079781494</v>
      </c>
      <c r="N9" s="58" t="n">
        <f aca="false">(N8-N10)</f>
        <v>7725.84181067919</v>
      </c>
      <c r="O9" s="58" t="n">
        <f aca="false">(O8-O10)</f>
        <v>9219.25311602349</v>
      </c>
      <c r="P9" s="58" t="n">
        <f aca="false">(P8-P10)</f>
        <v>10725.2949396352</v>
      </c>
    </row>
    <row r="10" customFormat="false" ht="15" hidden="false" customHeight="false" outlineLevel="0" collapsed="false">
      <c r="A10" s="6" t="s">
        <v>11</v>
      </c>
      <c r="B10" s="59" t="n">
        <v>5418.23</v>
      </c>
      <c r="C10" s="59" t="n">
        <v>7156.67</v>
      </c>
      <c r="D10" s="59" t="n">
        <v>6595.64</v>
      </c>
      <c r="E10" s="59" t="n">
        <v>5947.11</v>
      </c>
      <c r="F10" s="59" t="n">
        <v>8687.96</v>
      </c>
      <c r="G10" s="59" t="n">
        <v>9527.96</v>
      </c>
      <c r="H10" s="59" t="n">
        <v>10947.13</v>
      </c>
      <c r="I10" s="59" t="n">
        <v>15589.41</v>
      </c>
      <c r="J10" s="59" t="n">
        <v>18421.37</v>
      </c>
      <c r="K10" s="59" t="n">
        <v>22868.19</v>
      </c>
      <c r="L10" s="60" t="n">
        <f aca="false">(L6*Drivers!L8)</f>
        <v>27507.490453755</v>
      </c>
      <c r="M10" s="60" t="n">
        <f aca="false">(M6*Drivers!M8)</f>
        <v>30823.2480551857</v>
      </c>
      <c r="N10" s="60" t="n">
        <f aca="false">(N6*Drivers!N8)</f>
        <v>34979.2050483507</v>
      </c>
      <c r="O10" s="60" t="n">
        <f aca="false">(O6*Drivers!O8)</f>
        <v>39810.4111828287</v>
      </c>
      <c r="P10" s="60" t="n">
        <f aca="false">(P6*Drivers!P8)</f>
        <v>44232.0557729482</v>
      </c>
    </row>
    <row r="11" customFormat="false" ht="15" hidden="false" customHeight="false" outlineLevel="0" collapsed="false">
      <c r="A11" s="31" t="s">
        <v>175</v>
      </c>
      <c r="B11" s="55" t="n">
        <v>1160.19</v>
      </c>
      <c r="C11" s="55" t="n">
        <v>1188.37</v>
      </c>
      <c r="D11" s="55" t="n">
        <v>1373.48</v>
      </c>
      <c r="E11" s="55" t="n">
        <v>1680.28</v>
      </c>
      <c r="F11" s="55" t="n">
        <v>2107.34</v>
      </c>
      <c r="G11" s="55" t="n">
        <v>3099.3</v>
      </c>
      <c r="H11" s="55" t="n">
        <v>3424.71</v>
      </c>
      <c r="I11" s="55" t="n">
        <v>3888.46</v>
      </c>
      <c r="J11" s="55" t="n">
        <v>4378.93</v>
      </c>
      <c r="K11" s="55" t="n">
        <v>5517.38</v>
      </c>
      <c r="L11" s="33" t="n">
        <f aca="false">MIN((Drivers!L12*'Balance Sheet'!K10),('Balance Sheet'!K10+Schedules!L7))</f>
        <v>7621.62653</v>
      </c>
      <c r="M11" s="33" t="n">
        <f aca="false">MIN((Drivers!M12*'Balance Sheet'!L10),('Balance Sheet'!L10+Schedules!M7))</f>
        <v>8024.2649467169</v>
      </c>
      <c r="N11" s="33" t="n">
        <f aca="false">MIN((Drivers!N12*'Balance Sheet'!M10),('Balance Sheet'!M10+Schedules!N7))</f>
        <v>8482.69979166854</v>
      </c>
      <c r="O11" s="33" t="n">
        <f aca="false">MIN((Drivers!O12*'Balance Sheet'!N10),('Balance Sheet'!N10+Schedules!O7))</f>
        <v>9012.93182265299</v>
      </c>
      <c r="P11" s="33" t="n">
        <f aca="false">MIN((Drivers!P12*'Balance Sheet'!O10),('Balance Sheet'!O10+Schedules!P7))</f>
        <v>9623.29063107591</v>
      </c>
    </row>
    <row r="12" customFormat="false" ht="15" hidden="false" customHeight="false" outlineLevel="0" collapsed="false">
      <c r="A12" s="6" t="s">
        <v>109</v>
      </c>
      <c r="B12" s="61" t="n">
        <f aca="false">(B10-B11)</f>
        <v>4258.04</v>
      </c>
      <c r="C12" s="61" t="n">
        <f aca="false">(C10-C11)</f>
        <v>5968.3</v>
      </c>
      <c r="D12" s="61" t="n">
        <f aca="false">(D10-D11)</f>
        <v>5222.16</v>
      </c>
      <c r="E12" s="61" t="n">
        <f aca="false">(E10-E11)</f>
        <v>4266.83</v>
      </c>
      <c r="F12" s="61" t="n">
        <f aca="false">(F10-F11)</f>
        <v>6580.62</v>
      </c>
      <c r="G12" s="61" t="n">
        <f aca="false">(G10-G11)</f>
        <v>6428.66</v>
      </c>
      <c r="H12" s="61" t="n">
        <f aca="false">(H10-H11)</f>
        <v>7522.42</v>
      </c>
      <c r="I12" s="61" t="n">
        <f aca="false">(I10-I11)</f>
        <v>11700.95</v>
      </c>
      <c r="J12" s="61" t="n">
        <f aca="false">(J10-J11)</f>
        <v>14042.44</v>
      </c>
      <c r="K12" s="61" t="n">
        <f aca="false">(K10-K11)</f>
        <v>17350.81</v>
      </c>
      <c r="L12" s="62" t="n">
        <f aca="false">(L10-L11)</f>
        <v>19885.863923755</v>
      </c>
      <c r="M12" s="62" t="n">
        <f aca="false">(M10-M11)</f>
        <v>22798.9831084688</v>
      </c>
      <c r="N12" s="62" t="n">
        <f aca="false">(N10-N11)</f>
        <v>26496.5052566821</v>
      </c>
      <c r="O12" s="62" t="n">
        <f aca="false">(O10-O11)</f>
        <v>30797.4793601757</v>
      </c>
      <c r="P12" s="62" t="n">
        <f aca="false">(P10-P11)</f>
        <v>34608.7651418723</v>
      </c>
    </row>
    <row r="13" customFormat="false" ht="15" hidden="false" customHeight="false" outlineLevel="0" collapsed="false">
      <c r="A13" s="31" t="s">
        <v>176</v>
      </c>
      <c r="B13" s="55" t="n">
        <v>1036.57</v>
      </c>
      <c r="C13" s="55" t="n">
        <v>844.49</v>
      </c>
      <c r="D13" s="55" t="n">
        <v>1289.25</v>
      </c>
      <c r="E13" s="55" t="n">
        <v>1927.73</v>
      </c>
      <c r="F13" s="55" t="n">
        <v>1966.68</v>
      </c>
      <c r="G13" s="55" t="n">
        <v>1832.4</v>
      </c>
      <c r="H13" s="55" t="n">
        <v>327.11</v>
      </c>
      <c r="I13" s="55" t="n">
        <v>670.56</v>
      </c>
      <c r="J13" s="55" t="n">
        <v>1799.85</v>
      </c>
      <c r="K13" s="55" t="n">
        <v>2151.73</v>
      </c>
      <c r="L13" s="33" t="n">
        <f aca="false">((L6*Drivers!L9)+(Drivers!L24*AVERAGE('Balance Sheet'!K6,'Balance Sheet'!L6)))</f>
        <v>2189.83134687491</v>
      </c>
      <c r="M13" s="33" t="n">
        <f aca="false">((M6*Drivers!M9)+(Drivers!M24*AVERAGE('Balance Sheet'!L6,'Balance Sheet'!M6)))</f>
        <v>2474.94738823803</v>
      </c>
      <c r="N13" s="33" t="n">
        <f aca="false">((N6*Drivers!N9)+(Drivers!N24*AVERAGE('Balance Sheet'!M6,'Balance Sheet'!N6)))</f>
        <v>2833.07227531607</v>
      </c>
      <c r="O13" s="33" t="n">
        <f aca="false">((O6*Drivers!O9)+(Drivers!O24*AVERAGE('Balance Sheet'!N6,'Balance Sheet'!O6)))</f>
        <v>3252.65027929038</v>
      </c>
      <c r="P13" s="33" t="n">
        <f aca="false">((P6*Drivers!P9)+(Drivers!P24*AVERAGE('Balance Sheet'!O6,'Balance Sheet'!P6)))</f>
        <v>3645.89569805659</v>
      </c>
    </row>
    <row r="14" customFormat="false" ht="15" hidden="false" customHeight="false" outlineLevel="0" collapsed="false">
      <c r="A14" s="31" t="s">
        <v>177</v>
      </c>
      <c r="B14" s="55" t="n">
        <v>1115.74</v>
      </c>
      <c r="C14" s="55" t="n">
        <v>1578.66</v>
      </c>
      <c r="D14" s="55" t="n">
        <v>1385.19</v>
      </c>
      <c r="E14" s="55" t="n">
        <v>1950.64</v>
      </c>
      <c r="F14" s="55" t="n">
        <v>2255.29</v>
      </c>
      <c r="G14" s="55" t="n">
        <v>2543.92</v>
      </c>
      <c r="H14" s="55" t="n">
        <v>2362.64</v>
      </c>
      <c r="I14" s="55" t="n">
        <v>2732.94</v>
      </c>
      <c r="J14" s="55" t="n">
        <v>2812.67</v>
      </c>
      <c r="K14" s="55" t="n">
        <v>4653.98</v>
      </c>
      <c r="L14" s="33" t="n">
        <f aca="false">(Drivers!L23*AVERAGE('Balance Sheet'!K19,'Balance Sheet'!L19))</f>
        <v>5255.3276757952</v>
      </c>
      <c r="M14" s="33" t="n">
        <f aca="false">(Drivers!M23*AVERAGE('Balance Sheet'!L19,'Balance Sheet'!M19))</f>
        <v>5606.87756533984</v>
      </c>
      <c r="N14" s="33" t="n">
        <f aca="false">(Drivers!N23*AVERAGE('Balance Sheet'!M19,'Balance Sheet'!N19))</f>
        <v>5981.94403319569</v>
      </c>
      <c r="O14" s="33" t="n">
        <f aca="false">(Drivers!O23*AVERAGE('Balance Sheet'!N19,'Balance Sheet'!O19))</f>
        <v>6382.10019735228</v>
      </c>
      <c r="P14" s="33" t="n">
        <f aca="false">(Drivers!P23*AVERAGE('Balance Sheet'!O19,'Balance Sheet'!P19))</f>
        <v>6809.02440795396</v>
      </c>
    </row>
    <row r="15" customFormat="false" ht="15" hidden="false" customHeight="false" outlineLevel="0" collapsed="false">
      <c r="A15" s="31" t="s">
        <v>178</v>
      </c>
      <c r="B15" s="55" t="n">
        <v>0</v>
      </c>
      <c r="C15" s="55" t="n">
        <v>0</v>
      </c>
      <c r="D15" s="55" t="n">
        <v>0</v>
      </c>
      <c r="E15" s="55" t="n">
        <v>0</v>
      </c>
      <c r="F15" s="55" t="n">
        <v>0</v>
      </c>
      <c r="G15" s="55" t="n">
        <v>0</v>
      </c>
      <c r="H15" s="55" t="n">
        <v>0</v>
      </c>
      <c r="I15" s="55" t="n">
        <v>0</v>
      </c>
      <c r="J15" s="55" t="n">
        <v>0</v>
      </c>
      <c r="K15" s="55" t="n">
        <v>0</v>
      </c>
      <c r="L15" s="58" t="n">
        <f aca="false">0</f>
        <v>0</v>
      </c>
      <c r="M15" s="58" t="n">
        <f aca="false">0</f>
        <v>0</v>
      </c>
      <c r="N15" s="58" t="n">
        <f aca="false">0</f>
        <v>0</v>
      </c>
      <c r="O15" s="58" t="n">
        <f aca="false">0</f>
        <v>0</v>
      </c>
      <c r="P15" s="58" t="n">
        <f aca="false">0</f>
        <v>0</v>
      </c>
    </row>
    <row r="16" customFormat="false" ht="15" hidden="false" customHeight="false" outlineLevel="0" collapsed="false">
      <c r="A16" s="6" t="s">
        <v>179</v>
      </c>
      <c r="B16" s="59" t="n">
        <v>4178.87</v>
      </c>
      <c r="C16" s="59" t="n">
        <v>5234.13</v>
      </c>
      <c r="D16" s="59" t="n">
        <v>5126.22</v>
      </c>
      <c r="E16" s="59" t="n">
        <v>4243.92</v>
      </c>
      <c r="F16" s="59" t="n">
        <v>6292.01</v>
      </c>
      <c r="G16" s="59" t="n">
        <v>5717.14</v>
      </c>
      <c r="H16" s="59" t="n">
        <v>5486.89</v>
      </c>
      <c r="I16" s="59" t="n">
        <v>9638.57</v>
      </c>
      <c r="J16" s="59" t="n">
        <v>13029.62</v>
      </c>
      <c r="K16" s="59" t="n">
        <v>14848.56</v>
      </c>
      <c r="L16" s="62" t="n">
        <f aca="false">(((L12+L13)-L14)+L15)</f>
        <v>16820.3675948347</v>
      </c>
      <c r="M16" s="62" t="n">
        <f aca="false">(((M12+M13)-M14)+M15)</f>
        <v>19667.052931367</v>
      </c>
      <c r="N16" s="62" t="n">
        <f aca="false">(((N12+N13)-N14)+N15)</f>
        <v>23347.6334988025</v>
      </c>
      <c r="O16" s="62" t="n">
        <f aca="false">(((O12+O13)-O14)+O15)</f>
        <v>27668.0294421138</v>
      </c>
      <c r="P16" s="62" t="n">
        <f aca="false">(((P12+P13)-P14)+P15)</f>
        <v>31445.6364319749</v>
      </c>
    </row>
    <row r="17" customFormat="false" ht="15" hidden="false" customHeight="false" outlineLevel="0" collapsed="false">
      <c r="A17" s="31" t="s">
        <v>180</v>
      </c>
      <c r="B17" s="55" t="n">
        <v>267.35</v>
      </c>
      <c r="C17" s="55" t="n">
        <v>1560.51</v>
      </c>
      <c r="D17" s="55" t="n">
        <v>1136</v>
      </c>
      <c r="E17" s="55" t="n">
        <v>480.79</v>
      </c>
      <c r="F17" s="55" t="n">
        <v>1297.71</v>
      </c>
      <c r="G17" s="55" t="n">
        <v>831.11</v>
      </c>
      <c r="H17" s="55" t="n">
        <v>178.04</v>
      </c>
      <c r="I17" s="55" t="n">
        <v>1527.93</v>
      </c>
      <c r="J17" s="55" t="n">
        <v>1937.31</v>
      </c>
      <c r="K17" s="55" t="n">
        <v>2042.35</v>
      </c>
      <c r="L17" s="33" t="n">
        <f aca="false">(L16*Drivers!L22)</f>
        <v>3111.76800504442</v>
      </c>
      <c r="M17" s="33" t="n">
        <f aca="false">(M16*Drivers!M22)</f>
        <v>3638.4047923029</v>
      </c>
      <c r="N17" s="33" t="n">
        <f aca="false">(N16*Drivers!N22)</f>
        <v>4319.31219727847</v>
      </c>
      <c r="O17" s="33" t="n">
        <f aca="false">(O16*Drivers!O22)</f>
        <v>5118.58544679106</v>
      </c>
      <c r="P17" s="33" t="n">
        <f aca="false">(P16*Drivers!P22)</f>
        <v>5817.44273991536</v>
      </c>
    </row>
    <row r="18" customFormat="false" ht="15" hidden="false" customHeight="false" outlineLevel="0" collapsed="false">
      <c r="A18" s="6" t="s">
        <v>13</v>
      </c>
      <c r="B18" s="59" t="n">
        <v>3911.52</v>
      </c>
      <c r="C18" s="59" t="n">
        <v>3673.62</v>
      </c>
      <c r="D18" s="59" t="n">
        <v>3990.22</v>
      </c>
      <c r="E18" s="59" t="n">
        <v>3763.13</v>
      </c>
      <c r="F18" s="59" t="n">
        <v>4994.3</v>
      </c>
      <c r="G18" s="59" t="n">
        <v>4886.03</v>
      </c>
      <c r="H18" s="59" t="n">
        <v>5308.85</v>
      </c>
      <c r="I18" s="59" t="n">
        <v>8110.64</v>
      </c>
      <c r="J18" s="59" t="n">
        <v>11092.31</v>
      </c>
      <c r="K18" s="59" t="n">
        <v>12806.21</v>
      </c>
      <c r="L18" s="62" t="n">
        <f aca="false">(L16-L17)</f>
        <v>13708.5995897903</v>
      </c>
      <c r="M18" s="62" t="n">
        <f aca="false">(M16-M17)</f>
        <v>16028.6481390641</v>
      </c>
      <c r="N18" s="62" t="n">
        <f aca="false">(N16-N17)</f>
        <v>19028.3213015241</v>
      </c>
      <c r="O18" s="62" t="n">
        <f aca="false">(O16-O17)</f>
        <v>22549.4439953228</v>
      </c>
      <c r="P18" s="62" t="n">
        <f aca="false">(P16-P17)</f>
        <v>25628.1936920596</v>
      </c>
    </row>
    <row r="19" customFormat="false" ht="15" hidden="false" customHeight="false" outlineLevel="0" collapsed="false">
      <c r="A19" s="8" t="s">
        <v>110</v>
      </c>
      <c r="B19" s="34" t="n">
        <f aca="false">IFERROR((B18)/(Schedules!B23),0)</f>
        <v>18.8875454380401</v>
      </c>
      <c r="C19" s="34" t="n">
        <f aca="false">IFERROR((C18)/(Schedules!C23),0)</f>
        <v>17.738798388374</v>
      </c>
      <c r="D19" s="34" t="n">
        <f aca="false">IFERROR((D18)/(Schedules!D23),0)</f>
        <v>19.267563902978</v>
      </c>
      <c r="E19" s="34" t="n">
        <f aca="false">IFERROR((E18)/(Schedules!E23),0)</f>
        <v>18.5216010615469</v>
      </c>
      <c r="F19" s="34" t="n">
        <f aca="false">IFERROR((F18)/(Schedules!F23),0)</f>
        <v>24.5812481050837</v>
      </c>
      <c r="G19" s="34" t="n">
        <f aca="false">IFERROR((G18)/(Schedules!G23),0)</f>
        <v>23.1305266636148</v>
      </c>
      <c r="H19" s="34" t="n">
        <f aca="false">IFERROR((H18)/(Schedules!H23),0)</f>
        <v>24.5764277206235</v>
      </c>
      <c r="I19" s="34" t="n">
        <f aca="false">IFERROR((I18)/(Schedules!I23),0)</f>
        <v>37.5468430503778</v>
      </c>
      <c r="J19" s="34" t="n">
        <f aca="false">IFERROR((J18)/(Schedules!J23),0)</f>
        <v>51.3499825705661</v>
      </c>
      <c r="K19" s="34" t="n">
        <f aca="false">IFERROR((K18)/(Schedules!K23),0)</f>
        <v>55.5834977966188</v>
      </c>
      <c r="L19" s="35" t="n">
        <f aca="false">IFERROR((L18)/(Schedules!L23),0)</f>
        <v>59.5001889781471</v>
      </c>
      <c r="M19" s="35" t="n">
        <f aca="false">IFERROR((M18)/(Schedules!M23),0)</f>
        <v>69.5700233340269</v>
      </c>
      <c r="N19" s="35" t="n">
        <f aca="false">IFERROR((N18)/(Schedules!N23),0)</f>
        <v>82.5896697880651</v>
      </c>
      <c r="O19" s="35" t="n">
        <f aca="false">IFERROR((O18)/(Schedules!O23),0)</f>
        <v>97.8725923305179</v>
      </c>
      <c r="P19" s="35" t="n">
        <f aca="false">IFERROR((P18)/(Schedules!P23),0)</f>
        <v>111.235459016673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182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31" t="s">
        <v>183</v>
      </c>
      <c r="B6" s="55" t="n">
        <v>1976.8</v>
      </c>
      <c r="C6" s="55" t="n">
        <v>2967.55</v>
      </c>
      <c r="D6" s="55" t="n">
        <v>5967.3</v>
      </c>
      <c r="E6" s="55" t="n">
        <v>7313.86</v>
      </c>
      <c r="F6" s="55" t="n">
        <v>4700.78</v>
      </c>
      <c r="G6" s="55" t="n">
        <v>10667.41</v>
      </c>
      <c r="H6" s="55" t="n">
        <v>4334.31</v>
      </c>
      <c r="I6" s="55" t="n">
        <v>7631.88</v>
      </c>
      <c r="J6" s="55" t="n">
        <v>6605.97</v>
      </c>
      <c r="K6" s="55" t="n">
        <v>8483.51</v>
      </c>
      <c r="L6" s="33" t="n">
        <f aca="false">(K6+'Cash Flow'!L21)</f>
        <v>10550.4783685162</v>
      </c>
      <c r="M6" s="33" t="n">
        <f aca="false">(L6+'Cash Flow'!M21)</f>
        <v>18171.5525715915</v>
      </c>
      <c r="N6" s="33" t="n">
        <f aca="false">(M6+'Cash Flow'!N21)</f>
        <v>26727.4787849327</v>
      </c>
      <c r="O6" s="33" t="n">
        <f aca="false">(N6+'Cash Flow'!O21)</f>
        <v>36651.5365914683</v>
      </c>
      <c r="P6" s="33" t="n">
        <f aca="false">(O6+'Cash Flow'!P21)</f>
        <v>49620.6086989759</v>
      </c>
    </row>
    <row r="7" customFormat="false" ht="15" hidden="false" customHeight="false" outlineLevel="0" collapsed="false">
      <c r="A7" s="31" t="s">
        <v>184</v>
      </c>
      <c r="B7" s="55" t="n">
        <v>2692.99</v>
      </c>
      <c r="C7" s="55" t="n">
        <v>4309.91</v>
      </c>
      <c r="D7" s="55" t="n">
        <v>2789.66</v>
      </c>
      <c r="E7" s="55" t="n">
        <v>3202.14</v>
      </c>
      <c r="F7" s="55" t="n">
        <v>2925.71</v>
      </c>
      <c r="G7" s="55" t="n">
        <v>2521.14</v>
      </c>
      <c r="H7" s="55" t="n">
        <v>3957.07</v>
      </c>
      <c r="I7" s="55" t="n">
        <v>3666.94</v>
      </c>
      <c r="J7" s="55" t="n">
        <v>4432.36</v>
      </c>
      <c r="K7" s="55" t="n">
        <v>6382.54</v>
      </c>
      <c r="L7" s="33" t="n">
        <f aca="false">(IFERROR((Drivers!L16)/(365),0)*'Income Statement'!L6)</f>
        <v>7471.8859445863</v>
      </c>
      <c r="M7" s="33" t="n">
        <f aca="false">(IFERROR((Drivers!M16)/(365),0)*'Income Statement'!M6)</f>
        <v>8444.72549457144</v>
      </c>
      <c r="N7" s="33" t="n">
        <f aca="false">(IFERROR((Drivers!N16)/(365),0)*'Income Statement'!N6)</f>
        <v>9666.67727363593</v>
      </c>
      <c r="O7" s="33" t="n">
        <f aca="false">(IFERROR((Drivers!O16)/(365),0)*'Income Statement'!O6)</f>
        <v>11098.3121778614</v>
      </c>
      <c r="P7" s="33" t="n">
        <f aca="false">(IFERROR((Drivers!P16)/(365),0)*'Income Statement'!P6)</f>
        <v>12440.0981201649</v>
      </c>
    </row>
    <row r="8" customFormat="false" ht="15" hidden="false" customHeight="false" outlineLevel="0" collapsed="false">
      <c r="A8" s="31" t="s">
        <v>185</v>
      </c>
      <c r="B8" s="55" t="n">
        <v>657.09</v>
      </c>
      <c r="C8" s="55" t="n">
        <v>520.29</v>
      </c>
      <c r="D8" s="55" t="n">
        <v>806.68</v>
      </c>
      <c r="E8" s="55" t="n">
        <v>288.28</v>
      </c>
      <c r="F8" s="55" t="n">
        <v>991.85</v>
      </c>
      <c r="G8" s="55" t="n">
        <v>395.64</v>
      </c>
      <c r="H8" s="55" t="n">
        <v>451.97</v>
      </c>
      <c r="I8" s="55" t="n">
        <v>437.51</v>
      </c>
      <c r="J8" s="55" t="n">
        <v>521.8</v>
      </c>
      <c r="K8" s="55" t="n">
        <v>685</v>
      </c>
      <c r="L8" s="33" t="n">
        <f aca="false">(IFERROR((Drivers!L17)/(365),0)*'Income Statement'!L7)</f>
        <v>833.063752573479</v>
      </c>
      <c r="M8" s="33" t="n">
        <f aca="false">(IFERROR((Drivers!M17)/(365),0)*'Income Statement'!M7)</f>
        <v>941.528653158546</v>
      </c>
      <c r="N8" s="33" t="n">
        <f aca="false">(IFERROR((Drivers!N17)/(365),0)*'Income Statement'!N7)</f>
        <v>1077.76784927059</v>
      </c>
      <c r="O8" s="33" t="n">
        <f aca="false">(IFERROR((Drivers!O17)/(365),0)*'Income Statement'!O7)</f>
        <v>1237.38526774756</v>
      </c>
      <c r="P8" s="33" t="n">
        <f aca="false">(IFERROR((Drivers!P17)/(365),0)*'Income Statement'!P7)</f>
        <v>1386.98514661824</v>
      </c>
    </row>
    <row r="9" customFormat="false" ht="15" hidden="false" customHeight="false" outlineLevel="0" collapsed="false">
      <c r="A9" s="31" t="s">
        <v>186</v>
      </c>
      <c r="B9" s="55" t="n">
        <v>11313.66</v>
      </c>
      <c r="C9" s="55" t="n">
        <v>11140.58</v>
      </c>
      <c r="D9" s="55" t="n">
        <v>13360.59</v>
      </c>
      <c r="E9" s="55" t="n">
        <v>14003.58</v>
      </c>
      <c r="F9" s="55" t="n">
        <v>11739.35</v>
      </c>
      <c r="G9" s="55" t="n">
        <v>15007.24</v>
      </c>
      <c r="H9" s="55" t="n">
        <v>17527.69</v>
      </c>
      <c r="I9" s="55" t="n">
        <v>14890.31</v>
      </c>
      <c r="J9" s="55" t="n">
        <v>15900.65</v>
      </c>
      <c r="K9" s="55" t="n">
        <v>17757.28</v>
      </c>
      <c r="L9" s="33" t="n">
        <f aca="false">('Income Statement'!L6*Drivers!L19)</f>
        <v>24100.6995163952</v>
      </c>
      <c r="M9" s="33" t="n">
        <f aca="false">('Income Statement'!M6*Drivers!M19)</f>
        <v>27238.6105934299</v>
      </c>
      <c r="N9" s="33" t="n">
        <f aca="false">('Income Statement'!N6*Drivers!N19)</f>
        <v>31180.0375462992</v>
      </c>
      <c r="O9" s="33" t="n">
        <f aca="false">('Income Statement'!O6*Drivers!O19)</f>
        <v>35797.8011069061</v>
      </c>
      <c r="P9" s="33" t="n">
        <f aca="false">('Income Statement'!P6*Drivers!P19)</f>
        <v>40125.7552607311</v>
      </c>
    </row>
    <row r="10" customFormat="false" ht="15" hidden="false" customHeight="false" outlineLevel="0" collapsed="false">
      <c r="A10" s="31" t="s">
        <v>187</v>
      </c>
      <c r="B10" s="55" t="n">
        <v>21053.5</v>
      </c>
      <c r="C10" s="55" t="n">
        <v>22670.01</v>
      </c>
      <c r="D10" s="55" t="n">
        <v>28121.42</v>
      </c>
      <c r="E10" s="55" t="n">
        <v>32714.51</v>
      </c>
      <c r="F10" s="55" t="n">
        <v>48290.96</v>
      </c>
      <c r="G10" s="55" t="n">
        <v>62552.92</v>
      </c>
      <c r="H10" s="55" t="n">
        <v>72223.73</v>
      </c>
      <c r="I10" s="55" t="n">
        <v>75147.81</v>
      </c>
      <c r="J10" s="55" t="n">
        <v>89616.32</v>
      </c>
      <c r="K10" s="55" t="n">
        <v>131652.5</v>
      </c>
      <c r="L10" s="33" t="n">
        <f aca="false">((K10+Schedules!L7)-'Income Statement'!L11)</f>
        <v>138607.49234293</v>
      </c>
      <c r="M10" s="33" t="n">
        <f aca="false">((L10+Schedules!M7)-'Income Statement'!M11)</f>
        <v>146526.286735102</v>
      </c>
      <c r="N10" s="33" t="n">
        <f aca="false">((M10+Schedules!N7)-'Income Statement'!N11)</f>
        <v>155685.272967819</v>
      </c>
      <c r="O10" s="33" t="n">
        <f aca="false">((N10+Schedules!O7)-'Income Statement'!O11)</f>
        <v>166228.332603398</v>
      </c>
      <c r="P10" s="33" t="n">
        <f aca="false">((O10+Schedules!P7)-'Income Statement'!P11)</f>
        <v>176959.616310316</v>
      </c>
    </row>
    <row r="11" customFormat="false" ht="15" hidden="false" customHeight="false" outlineLevel="0" collapsed="false">
      <c r="A11" s="31" t="s">
        <v>188</v>
      </c>
      <c r="B11" s="55" t="n">
        <v>4513.97</v>
      </c>
      <c r="C11" s="55" t="n">
        <v>4545.46</v>
      </c>
      <c r="D11" s="55" t="n">
        <v>4483.48</v>
      </c>
      <c r="E11" s="55" t="n">
        <v>3216.33</v>
      </c>
      <c r="F11" s="55" t="n">
        <v>3697.13</v>
      </c>
      <c r="G11" s="55" t="n">
        <v>4022.9</v>
      </c>
      <c r="H11" s="55" t="n">
        <v>6636.77</v>
      </c>
      <c r="I11" s="55" t="n">
        <v>10936.09</v>
      </c>
      <c r="J11" s="55" t="n">
        <v>11706.1</v>
      </c>
      <c r="K11" s="55" t="n">
        <v>12689.05</v>
      </c>
      <c r="L11" s="33" t="n">
        <f aca="false">('Income Statement'!L6*Drivers!L14)</f>
        <v>17572.3021367219</v>
      </c>
      <c r="M11" s="33" t="n">
        <f aca="false">('Income Statement'!M6*Drivers!M14)</f>
        <v>19860.2158749231</v>
      </c>
      <c r="N11" s="33" t="n">
        <f aca="false">('Income Statement'!N6*Drivers!N14)</f>
        <v>22733.9891120245</v>
      </c>
      <c r="O11" s="33" t="n">
        <f aca="false">('Income Statement'!O6*Drivers!O14)</f>
        <v>26100.8928995153</v>
      </c>
      <c r="P11" s="33" t="n">
        <f aca="false">('Income Statement'!P6*Drivers!P14)</f>
        <v>29256.4908510667</v>
      </c>
    </row>
    <row r="12" customFormat="false" ht="15" hidden="false" customHeight="false" outlineLevel="0" collapsed="false">
      <c r="A12" s="31" t="s">
        <v>189</v>
      </c>
      <c r="B12" s="55" t="n">
        <v>1161.36</v>
      </c>
      <c r="C12" s="55" t="n">
        <v>1078.92</v>
      </c>
      <c r="D12" s="55" t="n">
        <v>782.3</v>
      </c>
      <c r="E12" s="55" t="n">
        <v>1178</v>
      </c>
      <c r="F12" s="55" t="n">
        <v>2236.15</v>
      </c>
      <c r="G12" s="55" t="n">
        <v>3160.74</v>
      </c>
      <c r="H12" s="55" t="n">
        <v>7431.65</v>
      </c>
      <c r="I12" s="55" t="n">
        <v>4288.66</v>
      </c>
      <c r="J12" s="55" t="n">
        <v>4659.45</v>
      </c>
      <c r="K12" s="55" t="n">
        <v>5448.65</v>
      </c>
      <c r="L12" s="58" t="n">
        <f aca="false">K12</f>
        <v>5448.65</v>
      </c>
      <c r="M12" s="58" t="n">
        <f aca="false">L12</f>
        <v>5448.65</v>
      </c>
      <c r="N12" s="58" t="n">
        <f aca="false">M12</f>
        <v>5448.65</v>
      </c>
      <c r="O12" s="58" t="n">
        <f aca="false">N12</f>
        <v>5448.65</v>
      </c>
      <c r="P12" s="58" t="n">
        <f aca="false">O12</f>
        <v>5448.65</v>
      </c>
    </row>
    <row r="13" customFormat="false" ht="15" hidden="false" customHeight="false" outlineLevel="0" collapsed="false">
      <c r="A13" s="6" t="s">
        <v>190</v>
      </c>
      <c r="B13" s="61" t="n">
        <f aca="false">((((((B6+B7)+B8)+B9)+B10)+B11)+B12)</f>
        <v>43369.37</v>
      </c>
      <c r="C13" s="61" t="n">
        <f aca="false">((((((C6+C7)+C8)+C9)+C10)+C11)+C12)</f>
        <v>47232.72</v>
      </c>
      <c r="D13" s="61" t="n">
        <f aca="false">((((((D6+D7)+D8)+D9)+D10)+D11)+D12)</f>
        <v>56311.43</v>
      </c>
      <c r="E13" s="61" t="n">
        <f aca="false">((((((E6+E7)+E8)+E9)+E10)+E11)+E12)</f>
        <v>61916.7</v>
      </c>
      <c r="F13" s="61" t="n">
        <f aca="false">((((((F6+F7)+F8)+F9)+F10)+F11)+F12)</f>
        <v>74581.93</v>
      </c>
      <c r="G13" s="61" t="n">
        <f aca="false">((((((G6+G7)+G8)+G9)+G10)+G11)+G12)</f>
        <v>98327.99</v>
      </c>
      <c r="H13" s="61" t="n">
        <f aca="false">((((((H6+H7)+H8)+H9)+H10)+H11)+H12)</f>
        <v>112563.19</v>
      </c>
      <c r="I13" s="61" t="n">
        <f aca="false">((((((I6+I7)+I8)+I9)+I10)+I11)+I12)</f>
        <v>116999.2</v>
      </c>
      <c r="J13" s="61" t="n">
        <f aca="false">((((((J6+J7)+J8)+J9)+J10)+J11)+J12)</f>
        <v>133442.65</v>
      </c>
      <c r="K13" s="61" t="n">
        <f aca="false">((((((K6+K7)+K8)+K9)+K10)+K11)+K12)</f>
        <v>183098.53</v>
      </c>
      <c r="L13" s="62" t="n">
        <f aca="false">((((((L6+L7)+L8)+L9)+L10)+L11)+L12)</f>
        <v>204584.572061723</v>
      </c>
      <c r="M13" s="62" t="n">
        <f aca="false">((((((M6+M7)+M8)+M9)+M10)+M11)+M12)</f>
        <v>226631.569922777</v>
      </c>
      <c r="N13" s="62" t="n">
        <f aca="false">((((((N6+N7)+N8)+N9)+N10)+N11)+N12)</f>
        <v>252519.873533982</v>
      </c>
      <c r="O13" s="62" t="n">
        <f aca="false">((((((O6+O7)+O8)+O9)+O10)+O11)+O12)</f>
        <v>282562.910646897</v>
      </c>
      <c r="P13" s="62" t="n">
        <f aca="false">((((((P6+P7)+P8)+P9)+P10)+P11)+P12)</f>
        <v>315238.204387873</v>
      </c>
    </row>
    <row r="14" customFormat="false" ht="15" hidden="false" customHeight="false" outlineLevel="0" collapsed="false">
      <c r="A14" s="27" t="s">
        <v>191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31" t="s">
        <v>192</v>
      </c>
      <c r="B15" s="55" t="n">
        <v>414.19</v>
      </c>
      <c r="C15" s="55" t="n">
        <v>414.19</v>
      </c>
      <c r="D15" s="55" t="n">
        <v>414.19</v>
      </c>
      <c r="E15" s="55" t="n">
        <v>406.35</v>
      </c>
      <c r="F15" s="55" t="n">
        <v>406.35</v>
      </c>
      <c r="G15" s="55" t="n">
        <v>422.47</v>
      </c>
      <c r="H15" s="55" t="n">
        <v>432.03</v>
      </c>
      <c r="I15" s="55" t="n">
        <v>432.03</v>
      </c>
      <c r="J15" s="55" t="n">
        <v>432.03</v>
      </c>
      <c r="K15" s="55" t="n">
        <v>460.79</v>
      </c>
      <c r="L15" s="58" t="n">
        <f aca="false">K15</f>
        <v>460.79</v>
      </c>
      <c r="M15" s="58" t="n">
        <f aca="false">L15</f>
        <v>460.79</v>
      </c>
      <c r="N15" s="58" t="n">
        <f aca="false">M15</f>
        <v>460.79</v>
      </c>
      <c r="O15" s="58" t="n">
        <f aca="false">N15</f>
        <v>460.79</v>
      </c>
      <c r="P15" s="58" t="n">
        <f aca="false">O15</f>
        <v>460.79</v>
      </c>
    </row>
    <row r="16" customFormat="false" ht="15" hidden="false" customHeight="false" outlineLevel="0" collapsed="false">
      <c r="A16" s="31" t="s">
        <v>193</v>
      </c>
      <c r="B16" s="55" t="n">
        <v>17111.79</v>
      </c>
      <c r="C16" s="55" t="n">
        <v>20488.76</v>
      </c>
      <c r="D16" s="55" t="n">
        <v>23958.13</v>
      </c>
      <c r="E16" s="55" t="n">
        <v>25050.61</v>
      </c>
      <c r="F16" s="55" t="n">
        <v>30035.38</v>
      </c>
      <c r="G16" s="55" t="n">
        <v>41399.22</v>
      </c>
      <c r="H16" s="55" t="n">
        <v>44957.36</v>
      </c>
      <c r="I16" s="55" t="n">
        <v>52346.21</v>
      </c>
      <c r="J16" s="55" t="n">
        <v>61836.83</v>
      </c>
      <c r="K16" s="55" t="n">
        <v>95497.98</v>
      </c>
      <c r="L16" s="33" t="n">
        <f aca="false">(((K16+'Income Statement'!L18)-Schedules!L22)+Drivers!L27)</f>
        <v>107236.873166331</v>
      </c>
      <c r="M16" s="33" t="n">
        <f aca="false">(((L16+'Income Statement'!M18)-Schedules!M22)+Drivers!M27)</f>
        <v>120962.461026182</v>
      </c>
      <c r="N16" s="33" t="n">
        <f aca="false">(((M16+'Income Statement'!N18)-Schedules!N22)+Drivers!N27)</f>
        <v>137256.717009818</v>
      </c>
      <c r="O16" s="33" t="n">
        <f aca="false">(((N16+'Income Statement'!O18)-Schedules!O22)+Drivers!O27)</f>
        <v>156566.166694116</v>
      </c>
      <c r="P16" s="33" t="n">
        <f aca="false">(((O16+'Income Statement'!P18)-Schedules!P22)+Drivers!P27)</f>
        <v>178511.999003726</v>
      </c>
    </row>
    <row r="17" customFormat="false" ht="15" hidden="false" customHeight="false" outlineLevel="0" collapsed="false">
      <c r="A17" s="31" t="s">
        <v>194</v>
      </c>
      <c r="B17" s="55" t="n">
        <v>22214.26</v>
      </c>
      <c r="C17" s="55" t="n">
        <v>22370.04</v>
      </c>
      <c r="D17" s="55" t="n">
        <v>27711.54</v>
      </c>
      <c r="E17" s="55" t="n">
        <v>30242.32</v>
      </c>
      <c r="F17" s="55" t="n">
        <v>35855.33</v>
      </c>
      <c r="G17" s="55" t="n">
        <v>47934.75</v>
      </c>
      <c r="H17" s="55" t="n">
        <v>53434.22</v>
      </c>
      <c r="I17" s="55" t="n">
        <v>49470.24</v>
      </c>
      <c r="J17" s="55" t="n">
        <v>51620.73</v>
      </c>
      <c r="K17" s="55" t="n">
        <v>63565.52</v>
      </c>
      <c r="L17" s="33" t="n">
        <f aca="false">MAX(((K17*(1+Drivers!L25))-Drivers!L26),0)</f>
        <v>67817.67189488</v>
      </c>
      <c r="M17" s="33" t="n">
        <f aca="false">MAX(((L17*(1+Drivers!M25))-Drivers!M26),0)</f>
        <v>72354.2672386161</v>
      </c>
      <c r="N17" s="33" t="n">
        <f aca="false">MAX(((M17*(1+Drivers!N25))-Drivers!N26),0)</f>
        <v>77194.3335912761</v>
      </c>
      <c r="O17" s="33" t="n">
        <f aca="false">MAX(((N17*(1+Drivers!O25))-Drivers!O26),0)</f>
        <v>82358.1713425309</v>
      </c>
      <c r="P17" s="33" t="n">
        <f aca="false">MAX(((O17*(1+Drivers!P25))-Drivers!P26),0)</f>
        <v>87867.4388563182</v>
      </c>
    </row>
    <row r="18" customFormat="false" ht="15" hidden="false" customHeight="false" outlineLevel="0" collapsed="false">
      <c r="A18" s="31" t="s">
        <v>195</v>
      </c>
      <c r="B18" s="55" t="n">
        <v>0</v>
      </c>
      <c r="C18" s="55" t="n">
        <v>0</v>
      </c>
      <c r="D18" s="55" t="n">
        <v>0</v>
      </c>
      <c r="E18" s="55" t="n">
        <v>0</v>
      </c>
      <c r="F18" s="55" t="n">
        <v>0</v>
      </c>
      <c r="G18" s="55" t="n">
        <v>0</v>
      </c>
      <c r="H18" s="55" t="n">
        <v>0</v>
      </c>
      <c r="I18" s="55" t="n">
        <v>0</v>
      </c>
      <c r="J18" s="55" t="n">
        <v>0</v>
      </c>
      <c r="K18" s="55" t="n">
        <v>0</v>
      </c>
      <c r="L18" s="33" t="n">
        <f aca="false">((K18+Schedules!L18)-Schedules!L19)</f>
        <v>0</v>
      </c>
      <c r="M18" s="33" t="n">
        <f aca="false">((L18+Schedules!M18)-Schedules!M19)</f>
        <v>0</v>
      </c>
      <c r="N18" s="33" t="n">
        <f aca="false">((M18+Schedules!N18)-Schedules!N19)</f>
        <v>0</v>
      </c>
      <c r="O18" s="33" t="n">
        <f aca="false">((N18+Schedules!O18)-Schedules!O19)</f>
        <v>0</v>
      </c>
      <c r="P18" s="33" t="n">
        <f aca="false">((O18+Schedules!P18)-Schedules!P19)</f>
        <v>0</v>
      </c>
    </row>
    <row r="19" customFormat="false" ht="15" hidden="false" customHeight="false" outlineLevel="0" collapsed="false">
      <c r="A19" s="31" t="s">
        <v>196</v>
      </c>
      <c r="B19" s="52" t="n">
        <f aca="false">(B17+B18)</f>
        <v>22214.26</v>
      </c>
      <c r="C19" s="52" t="n">
        <f aca="false">(C17+C18)</f>
        <v>22370.04</v>
      </c>
      <c r="D19" s="52" t="n">
        <f aca="false">(D17+D18)</f>
        <v>27711.54</v>
      </c>
      <c r="E19" s="52" t="n">
        <f aca="false">(E17+E18)</f>
        <v>30242.32</v>
      </c>
      <c r="F19" s="52" t="n">
        <f aca="false">(F17+F18)</f>
        <v>35855.33</v>
      </c>
      <c r="G19" s="52" t="n">
        <f aca="false">(G17+G18)</f>
        <v>47934.75</v>
      </c>
      <c r="H19" s="52" t="n">
        <f aca="false">(H17+H18)</f>
        <v>53434.22</v>
      </c>
      <c r="I19" s="52" t="n">
        <f aca="false">(I17+I18)</f>
        <v>49470.24</v>
      </c>
      <c r="J19" s="52" t="n">
        <f aca="false">(J17+J18)</f>
        <v>51620.73</v>
      </c>
      <c r="K19" s="52" t="n">
        <f aca="false">(K17+K18)</f>
        <v>63565.52</v>
      </c>
      <c r="L19" s="58" t="n">
        <f aca="false">(L17+L18)</f>
        <v>67817.67189488</v>
      </c>
      <c r="M19" s="58" t="n">
        <f aca="false">(M17+M18)</f>
        <v>72354.2672386161</v>
      </c>
      <c r="N19" s="58" t="n">
        <f aca="false">(N17+N18)</f>
        <v>77194.3335912761</v>
      </c>
      <c r="O19" s="58" t="n">
        <f aca="false">(O17+O18)</f>
        <v>82358.1713425309</v>
      </c>
      <c r="P19" s="58" t="n">
        <f aca="false">(P17+P18)</f>
        <v>87867.4388563182</v>
      </c>
    </row>
    <row r="20" customFormat="false" ht="15" hidden="false" customHeight="false" outlineLevel="0" collapsed="false">
      <c r="A20" s="31" t="s">
        <v>197</v>
      </c>
      <c r="B20" s="55" t="n">
        <v>0</v>
      </c>
      <c r="C20" s="55" t="n">
        <v>0</v>
      </c>
      <c r="D20" s="55" t="n">
        <v>0</v>
      </c>
      <c r="E20" s="55" t="n">
        <v>0</v>
      </c>
      <c r="F20" s="55" t="n">
        <v>0</v>
      </c>
      <c r="G20" s="55" t="n">
        <v>0</v>
      </c>
      <c r="H20" s="55" t="n">
        <v>0</v>
      </c>
      <c r="I20" s="55" t="n">
        <v>0</v>
      </c>
      <c r="J20" s="55" t="n">
        <v>2720.5</v>
      </c>
      <c r="K20" s="55" t="n">
        <v>2736.24</v>
      </c>
      <c r="L20" s="33" t="n">
        <f aca="false">(IFERROR((Drivers!L18)/(365),0)*'Income Statement'!L7)</f>
        <v>3324.57700335775</v>
      </c>
      <c r="M20" s="33" t="n">
        <f aca="false">(IFERROR((Drivers!M18)/(365),0)*'Income Statement'!M7)</f>
        <v>3757.43692919493</v>
      </c>
      <c r="N20" s="33" t="n">
        <f aca="false">(IFERROR((Drivers!N18)/(365),0)*'Income Statement'!N7)</f>
        <v>4301.13805284944</v>
      </c>
      <c r="O20" s="33" t="n">
        <f aca="false">(IFERROR((Drivers!O18)/(365),0)*'Income Statement'!O7)</f>
        <v>4938.13659847644</v>
      </c>
      <c r="P20" s="33" t="n">
        <f aca="false">(IFERROR((Drivers!P18)/(365),0)*'Income Statement'!P7)</f>
        <v>5535.15731323225</v>
      </c>
    </row>
    <row r="21" customFormat="false" ht="15" hidden="false" customHeight="false" outlineLevel="0" collapsed="false">
      <c r="A21" s="31" t="s">
        <v>198</v>
      </c>
      <c r="B21" s="55" t="n">
        <v>3629.13</v>
      </c>
      <c r="C21" s="55" t="n">
        <v>3959.73</v>
      </c>
      <c r="D21" s="55" t="n">
        <v>4227.57</v>
      </c>
      <c r="E21" s="55" t="n">
        <v>6217.42</v>
      </c>
      <c r="F21" s="55" t="n">
        <v>8284.87</v>
      </c>
      <c r="G21" s="55" t="n">
        <v>8571.55</v>
      </c>
      <c r="H21" s="55" t="n">
        <v>13739.58</v>
      </c>
      <c r="I21" s="55" t="n">
        <v>14750.72</v>
      </c>
      <c r="J21" s="55" t="n">
        <v>16832.56</v>
      </c>
      <c r="K21" s="55" t="n">
        <v>20838</v>
      </c>
      <c r="L21" s="33" t="n">
        <f aca="false">('Income Statement'!L6*Drivers!L20)</f>
        <v>25744.6599971545</v>
      </c>
      <c r="M21" s="33" t="n">
        <f aca="false">('Income Statement'!M6*Drivers!M20)</f>
        <v>29096.6147287841</v>
      </c>
      <c r="N21" s="33" t="n">
        <f aca="false">('Income Statement'!N6*Drivers!N20)</f>
        <v>33306.8948800391</v>
      </c>
      <c r="O21" s="33" t="n">
        <f aca="false">('Income Statement'!O6*Drivers!O20)</f>
        <v>38239.6460117729</v>
      </c>
      <c r="P21" s="33" t="n">
        <f aca="false">('Income Statement'!P6*Drivers!P20)</f>
        <v>42862.8192145962</v>
      </c>
    </row>
    <row r="22" customFormat="false" ht="15" hidden="false" customHeight="false" outlineLevel="0" collapsed="false">
      <c r="A22" s="6" t="s">
        <v>199</v>
      </c>
      <c r="B22" s="61" t="n">
        <f aca="false">((((B15+B16)+B19)+B20)+B21)</f>
        <v>43369.37</v>
      </c>
      <c r="C22" s="61" t="n">
        <f aca="false">((((C15+C16)+C19)+C20)+C21)</f>
        <v>47232.72</v>
      </c>
      <c r="D22" s="61" t="n">
        <f aca="false">((((D15+D16)+D19)+D20)+D21)</f>
        <v>56311.43</v>
      </c>
      <c r="E22" s="61" t="n">
        <f aca="false">((((E15+E16)+E19)+E20)+E21)</f>
        <v>61916.7</v>
      </c>
      <c r="F22" s="61" t="n">
        <f aca="false">((((F15+F16)+F19)+F20)+F21)</f>
        <v>74581.93</v>
      </c>
      <c r="G22" s="61" t="n">
        <f aca="false">((((G15+G16)+G19)+G20)+G21)</f>
        <v>98327.99</v>
      </c>
      <c r="H22" s="61" t="n">
        <f aca="false">((((H15+H16)+H19)+H20)+H21)</f>
        <v>112563.19</v>
      </c>
      <c r="I22" s="61" t="n">
        <f aca="false">((((I15+I16)+I19)+I20)+I21)</f>
        <v>116999.2</v>
      </c>
      <c r="J22" s="61" t="n">
        <f aca="false">((((J15+J16)+J19)+J20)+J21)</f>
        <v>133442.65</v>
      </c>
      <c r="K22" s="61" t="n">
        <f aca="false">((((K15+K16)+K19)+K20)+K21)</f>
        <v>183098.53</v>
      </c>
      <c r="L22" s="62" t="n">
        <f aca="false">((((L15+L16)+L19)+L20)+L21)</f>
        <v>204584.572061723</v>
      </c>
      <c r="M22" s="62" t="n">
        <f aca="false">((((M15+M16)+M19)+M20)+M21)</f>
        <v>226631.569922777</v>
      </c>
      <c r="N22" s="62" t="n">
        <f aca="false">((((N15+N16)+N19)+N20)+N21)</f>
        <v>252519.873533982</v>
      </c>
      <c r="O22" s="62" t="n">
        <f aca="false">((((O15+O16)+O19)+O20)+O21)</f>
        <v>282562.910646897</v>
      </c>
      <c r="P22" s="62" t="n">
        <f aca="false">((((P15+P16)+P19)+P20)+P21)</f>
        <v>315238.204387873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201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31" t="s">
        <v>202</v>
      </c>
      <c r="B6" s="9" t="n">
        <f aca="false">'Income Statement'!B18</f>
        <v>3911.52</v>
      </c>
      <c r="C6" s="9" t="n">
        <f aca="false">'Income Statement'!C18</f>
        <v>3673.62</v>
      </c>
      <c r="D6" s="9" t="n">
        <f aca="false">'Income Statement'!D18</f>
        <v>3990.22</v>
      </c>
      <c r="E6" s="9" t="n">
        <f aca="false">'Income Statement'!E18</f>
        <v>3763.13</v>
      </c>
      <c r="F6" s="9" t="n">
        <f aca="false">'Income Statement'!F18</f>
        <v>4994.3</v>
      </c>
      <c r="G6" s="9" t="n">
        <f aca="false">'Income Statement'!G18</f>
        <v>4886.03</v>
      </c>
      <c r="H6" s="9" t="n">
        <f aca="false">'Income Statement'!H18</f>
        <v>5308.85</v>
      </c>
      <c r="I6" s="9" t="n">
        <f aca="false">'Income Statement'!I18</f>
        <v>8110.64</v>
      </c>
      <c r="J6" s="9" t="n">
        <f aca="false">'Income Statement'!J18</f>
        <v>11092.31</v>
      </c>
      <c r="K6" s="9" t="n">
        <f aca="false">'Income Statement'!K18</f>
        <v>12806.21</v>
      </c>
      <c r="L6" s="33" t="n">
        <f aca="false">'Income Statement'!L18</f>
        <v>13708.5995897903</v>
      </c>
      <c r="M6" s="33" t="n">
        <f aca="false">'Income Statement'!M18</f>
        <v>16028.6481390641</v>
      </c>
      <c r="N6" s="33" t="n">
        <f aca="false">'Income Statement'!N18</f>
        <v>19028.3213015241</v>
      </c>
      <c r="O6" s="33" t="n">
        <f aca="false">'Income Statement'!O18</f>
        <v>22549.4439953228</v>
      </c>
      <c r="P6" s="33" t="n">
        <f aca="false">'Income Statement'!P18</f>
        <v>25628.1936920596</v>
      </c>
    </row>
    <row r="7" customFormat="false" ht="15" hidden="false" customHeight="false" outlineLevel="0" collapsed="false">
      <c r="A7" s="31" t="s">
        <v>175</v>
      </c>
      <c r="B7" s="9" t="n">
        <f aca="false">'Income Statement'!B11</f>
        <v>1160.19</v>
      </c>
      <c r="C7" s="9" t="n">
        <f aca="false">'Income Statement'!C11</f>
        <v>1188.37</v>
      </c>
      <c r="D7" s="9" t="n">
        <f aca="false">'Income Statement'!D11</f>
        <v>1373.48</v>
      </c>
      <c r="E7" s="9" t="n">
        <f aca="false">'Income Statement'!E11</f>
        <v>1680.28</v>
      </c>
      <c r="F7" s="9" t="n">
        <f aca="false">'Income Statement'!F11</f>
        <v>2107.34</v>
      </c>
      <c r="G7" s="9" t="n">
        <f aca="false">'Income Statement'!G11</f>
        <v>3099.3</v>
      </c>
      <c r="H7" s="9" t="n">
        <f aca="false">'Income Statement'!H11</f>
        <v>3424.71</v>
      </c>
      <c r="I7" s="9" t="n">
        <f aca="false">'Income Statement'!I11</f>
        <v>3888.46</v>
      </c>
      <c r="J7" s="9" t="n">
        <f aca="false">'Income Statement'!J11</f>
        <v>4378.93</v>
      </c>
      <c r="K7" s="9" t="n">
        <f aca="false">'Income Statement'!K11</f>
        <v>5517.38</v>
      </c>
      <c r="L7" s="33" t="n">
        <f aca="false">'Income Statement'!L11</f>
        <v>7621.62653</v>
      </c>
      <c r="M7" s="33" t="n">
        <f aca="false">'Income Statement'!M11</f>
        <v>8024.2649467169</v>
      </c>
      <c r="N7" s="33" t="n">
        <f aca="false">'Income Statement'!N11</f>
        <v>8482.69979166854</v>
      </c>
      <c r="O7" s="33" t="n">
        <f aca="false">'Income Statement'!O11</f>
        <v>9012.93182265299</v>
      </c>
      <c r="P7" s="33" t="n">
        <f aca="false">'Income Statement'!P11</f>
        <v>9623.29063107591</v>
      </c>
    </row>
    <row r="8" customFormat="false" ht="15" hidden="false" customHeight="false" outlineLevel="0" collapsed="false">
      <c r="A8" s="31" t="s">
        <v>203</v>
      </c>
      <c r="B8" s="9" t="n">
        <f aca="false">-(Schedules!B12)</f>
        <v>-11034.61</v>
      </c>
      <c r="C8" s="9" t="n">
        <f aca="false">-(Schedules!C12)</f>
        <v>-976.439999999999</v>
      </c>
      <c r="D8" s="9" t="n">
        <f aca="false">-(Schedules!D12)</f>
        <v>-718.310000000001</v>
      </c>
      <c r="E8" s="9" t="n">
        <f aca="false">-(Schedules!E12)</f>
        <v>1452.78</v>
      </c>
      <c r="F8" s="9" t="n">
        <f aca="false">-(Schedules!F12)</f>
        <v>3904.54</v>
      </c>
      <c r="G8" s="9" t="n">
        <f aca="false">-(Schedules!G12)</f>
        <v>-1980.43</v>
      </c>
      <c r="H8" s="9" t="n">
        <f aca="false">-(Schedules!H12)</f>
        <v>1155.32</v>
      </c>
      <c r="I8" s="9" t="n">
        <f aca="false">-(Schedules!I12)</f>
        <v>3953.11</v>
      </c>
      <c r="J8" s="9" t="n">
        <f aca="false">-(Schedules!J12)</f>
        <v>2942.29</v>
      </c>
      <c r="K8" s="9" t="n">
        <f aca="false">-(Schedules!K12)</f>
        <v>51.1699999999946</v>
      </c>
      <c r="L8" s="33" t="n">
        <f aca="false">-(Schedules!L12)</f>
        <v>-2085.83221304273</v>
      </c>
      <c r="M8" s="33" t="n">
        <f aca="false">-(Schedules!M12)</f>
        <v>-434.400870138172</v>
      </c>
      <c r="N8" s="33" t="n">
        <f aca="false">-(Schedules!N12)</f>
        <v>-545.636653136276</v>
      </c>
      <c r="O8" s="33" t="n">
        <f aca="false">-(Schedules!O12)</f>
        <v>-639.266205948567</v>
      </c>
      <c r="P8" s="33" t="n">
        <f aca="false">-(Schedules!P12)</f>
        <v>-599.146057419937</v>
      </c>
    </row>
    <row r="9" customFormat="false" ht="15" hidden="false" customHeight="false" outlineLevel="0" collapsed="false">
      <c r="A9" s="6" t="s">
        <v>204</v>
      </c>
      <c r="B9" s="61" t="n">
        <f aca="false">((B6+B7)+B8)</f>
        <v>-5962.9</v>
      </c>
      <c r="C9" s="61" t="n">
        <f aca="false">((C6+C7)+C8)</f>
        <v>3885.55</v>
      </c>
      <c r="D9" s="61" t="n">
        <f aca="false">((D6+D7)+D8)</f>
        <v>4645.39</v>
      </c>
      <c r="E9" s="61" t="n">
        <f aca="false">((E6+E7)+E8)</f>
        <v>6896.19</v>
      </c>
      <c r="F9" s="61" t="n">
        <f aca="false">((F6+F7)+F8)</f>
        <v>11006.18</v>
      </c>
      <c r="G9" s="61" t="n">
        <f aca="false">((G6+G7)+G8)</f>
        <v>6004.9</v>
      </c>
      <c r="H9" s="61" t="n">
        <f aca="false">((H6+H7)+H8)</f>
        <v>9888.88</v>
      </c>
      <c r="I9" s="61" t="n">
        <f aca="false">((I6+I7)+I8)</f>
        <v>15952.21</v>
      </c>
      <c r="J9" s="61" t="n">
        <f aca="false">((J6+J7)+J8)</f>
        <v>18413.53</v>
      </c>
      <c r="K9" s="61" t="n">
        <f aca="false">((K6+K7)+K8)</f>
        <v>18374.76</v>
      </c>
      <c r="L9" s="62" t="n">
        <f aca="false">((L6+L7)+L8)</f>
        <v>19244.3939067476</v>
      </c>
      <c r="M9" s="62" t="n">
        <f aca="false">((M6+M7)+M8)</f>
        <v>23618.5122156429</v>
      </c>
      <c r="N9" s="62" t="n">
        <f aca="false">((N6+N7)+N8)</f>
        <v>26965.3844400563</v>
      </c>
      <c r="O9" s="62" t="n">
        <f aca="false">((O6+O7)+O8)</f>
        <v>30923.1096120272</v>
      </c>
      <c r="P9" s="62" t="n">
        <f aca="false">((P6+P7)+P8)</f>
        <v>34652.3382657155</v>
      </c>
    </row>
    <row r="10" customFormat="false" ht="15" hidden="false" customHeight="false" outlineLevel="0" collapsed="false">
      <c r="A10" s="27" t="s">
        <v>205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31" t="s">
        <v>206</v>
      </c>
      <c r="B11" s="9" t="n">
        <f aca="false">(-(Schedules!B7)-('Balance Sheet'!B11-0))</f>
        <v>-4513.97</v>
      </c>
      <c r="C11" s="9" t="n">
        <f aca="false">(-(Schedules!C7)-('Balance Sheet'!C11-'Balance Sheet'!B11))</f>
        <v>-2836.37</v>
      </c>
      <c r="D11" s="9" t="n">
        <f aca="false">(-(Schedules!D7)-('Balance Sheet'!D11-'Balance Sheet'!C11))</f>
        <v>-6762.91</v>
      </c>
      <c r="E11" s="9" t="n">
        <f aca="false">(-(Schedules!E7)-('Balance Sheet'!E11-'Balance Sheet'!D11))</f>
        <v>-5006.22</v>
      </c>
      <c r="F11" s="9" t="n">
        <f aca="false">(-(Schedules!F7)-('Balance Sheet'!F11-'Balance Sheet'!E11))</f>
        <v>-18164.59</v>
      </c>
      <c r="G11" s="9" t="n">
        <f aca="false">(-(Schedules!G7)-('Balance Sheet'!G11-'Balance Sheet'!F11))</f>
        <v>-17687.03</v>
      </c>
      <c r="H11" s="9" t="n">
        <f aca="false">(-(Schedules!H7)-('Balance Sheet'!H11-'Balance Sheet'!G11))</f>
        <v>-15709.39</v>
      </c>
      <c r="I11" s="9" t="n">
        <f aca="false">(-(Schedules!I7)-('Balance Sheet'!I11-'Balance Sheet'!H11))</f>
        <v>-11111.86</v>
      </c>
      <c r="J11" s="9" t="n">
        <f aca="false">(-(Schedules!J7)-('Balance Sheet'!J11-'Balance Sheet'!I11))</f>
        <v>-19617.45</v>
      </c>
      <c r="K11" s="9" t="n">
        <f aca="false">(-(Schedules!K7)-('Balance Sheet'!K11-'Balance Sheet'!J11))</f>
        <v>-48536.51</v>
      </c>
      <c r="L11" s="33" t="n">
        <f aca="false">(-(Schedules!L7)-('Balance Sheet'!L11-'Balance Sheet'!K11))</f>
        <v>-19459.8710096519</v>
      </c>
      <c r="M11" s="33" t="n">
        <f aca="false">(-(Schedules!M7)-('Balance Sheet'!M11-'Balance Sheet'!L11))</f>
        <v>-18230.9730770904</v>
      </c>
      <c r="N11" s="33" t="n">
        <f aca="false">(-(Schedules!N7)-('Balance Sheet'!N11-'Balance Sheet'!M11))</f>
        <v>-20515.4592614869</v>
      </c>
      <c r="O11" s="33" t="n">
        <f aca="false">(-(Schedules!O7)-('Balance Sheet'!O11-'Balance Sheet'!N11))</f>
        <v>-22922.8952457225</v>
      </c>
      <c r="P11" s="33" t="n">
        <f aca="false">(-(Schedules!P7)-('Balance Sheet'!P11-'Balance Sheet'!O11))</f>
        <v>-23510.1722895453</v>
      </c>
    </row>
    <row r="12" customFormat="false" ht="15" hidden="false" customHeight="false" outlineLevel="0" collapsed="false">
      <c r="A12" s="31" t="s">
        <v>189</v>
      </c>
      <c r="B12" s="9" t="n">
        <f aca="false">-(('Balance Sheet'!B12-0))</f>
        <v>-1161.36</v>
      </c>
      <c r="C12" s="9" t="n">
        <f aca="false">-(('Balance Sheet'!C12-'Balance Sheet'!B12))</f>
        <v>82.4399999999998</v>
      </c>
      <c r="D12" s="9" t="n">
        <f aca="false">-(('Balance Sheet'!D12-'Balance Sheet'!C12))</f>
        <v>296.62</v>
      </c>
      <c r="E12" s="9" t="n">
        <f aca="false">-(('Balance Sheet'!E12-'Balance Sheet'!D12))</f>
        <v>-395.7</v>
      </c>
      <c r="F12" s="9" t="n">
        <f aca="false">-(('Balance Sheet'!F12-'Balance Sheet'!E12))</f>
        <v>-1058.15</v>
      </c>
      <c r="G12" s="9" t="n">
        <f aca="false">-(('Balance Sheet'!G12-'Balance Sheet'!F12))</f>
        <v>-924.59</v>
      </c>
      <c r="H12" s="9" t="n">
        <f aca="false">-(('Balance Sheet'!H12-'Balance Sheet'!G12))</f>
        <v>-4270.91</v>
      </c>
      <c r="I12" s="9" t="n">
        <f aca="false">-(('Balance Sheet'!I12-'Balance Sheet'!H12))</f>
        <v>3142.99</v>
      </c>
      <c r="J12" s="9" t="n">
        <f aca="false">-(('Balance Sheet'!J12-'Balance Sheet'!I12))</f>
        <v>-370.79</v>
      </c>
      <c r="K12" s="9" t="n">
        <f aca="false">-(('Balance Sheet'!K12-'Balance Sheet'!J12))</f>
        <v>-789.2</v>
      </c>
      <c r="L12" s="33" t="n">
        <f aca="false">-(('Balance Sheet'!L12-'Balance Sheet'!K12))</f>
        <v>-0</v>
      </c>
      <c r="M12" s="33" t="n">
        <f aca="false">-(('Balance Sheet'!M12-'Balance Sheet'!L12))</f>
        <v>-0</v>
      </c>
      <c r="N12" s="33" t="n">
        <f aca="false">-(('Balance Sheet'!N12-'Balance Sheet'!M12))</f>
        <v>-0</v>
      </c>
      <c r="O12" s="33" t="n">
        <f aca="false">-(('Balance Sheet'!O12-'Balance Sheet'!N12))</f>
        <v>-0</v>
      </c>
      <c r="P12" s="33" t="n">
        <f aca="false">-(('Balance Sheet'!P12-'Balance Sheet'!O12))</f>
        <v>-0</v>
      </c>
    </row>
    <row r="13" customFormat="false" ht="15" hidden="false" customHeight="false" outlineLevel="0" collapsed="false">
      <c r="A13" s="6" t="s">
        <v>207</v>
      </c>
      <c r="B13" s="61" t="n">
        <f aca="false">(B11+B12)</f>
        <v>-5675.33</v>
      </c>
      <c r="C13" s="61" t="n">
        <f aca="false">(C11+C12)</f>
        <v>-2753.93</v>
      </c>
      <c r="D13" s="61" t="n">
        <f aca="false">(D11+D12)</f>
        <v>-6466.29</v>
      </c>
      <c r="E13" s="61" t="n">
        <f aca="false">(E11+E12)</f>
        <v>-5401.92</v>
      </c>
      <c r="F13" s="61" t="n">
        <f aca="false">(F11+F12)</f>
        <v>-19222.74</v>
      </c>
      <c r="G13" s="61" t="n">
        <f aca="false">(G11+G12)</f>
        <v>-18611.62</v>
      </c>
      <c r="H13" s="61" t="n">
        <f aca="false">(H11+H12)</f>
        <v>-19980.3</v>
      </c>
      <c r="I13" s="61" t="n">
        <f aca="false">(I11+I12)</f>
        <v>-7968.87</v>
      </c>
      <c r="J13" s="61" t="n">
        <f aca="false">(J11+J12)</f>
        <v>-19988.24</v>
      </c>
      <c r="K13" s="61" t="n">
        <f aca="false">(K11+K12)</f>
        <v>-49325.71</v>
      </c>
      <c r="L13" s="62" t="n">
        <f aca="false">(L11+L12)</f>
        <v>-19459.8710096519</v>
      </c>
      <c r="M13" s="62" t="n">
        <f aca="false">(M11+M12)</f>
        <v>-18230.9730770904</v>
      </c>
      <c r="N13" s="62" t="n">
        <f aca="false">(N11+N12)</f>
        <v>-20515.4592614869</v>
      </c>
      <c r="O13" s="62" t="n">
        <f aca="false">(O11+O12)</f>
        <v>-22922.8952457225</v>
      </c>
      <c r="P13" s="62" t="n">
        <f aca="false">(P11+P12)</f>
        <v>-23510.1722895453</v>
      </c>
    </row>
    <row r="14" customFormat="false" ht="15" hidden="false" customHeight="false" outlineLevel="0" collapsed="false">
      <c r="A14" s="27" t="s">
        <v>208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31" t="s">
        <v>209</v>
      </c>
      <c r="B15" s="9" t="n">
        <f aca="false">('Balance Sheet'!B17-0)</f>
        <v>22214.26</v>
      </c>
      <c r="C15" s="9" t="n">
        <f aca="false">('Balance Sheet'!C17-'Balance Sheet'!B17)</f>
        <v>155.780000000002</v>
      </c>
      <c r="D15" s="9" t="n">
        <f aca="false">('Balance Sheet'!D17-'Balance Sheet'!C17)</f>
        <v>5341.5</v>
      </c>
      <c r="E15" s="9" t="n">
        <f aca="false">('Balance Sheet'!E17-'Balance Sheet'!D17)</f>
        <v>2530.78</v>
      </c>
      <c r="F15" s="9" t="n">
        <f aca="false">('Balance Sheet'!F17-'Balance Sheet'!E17)</f>
        <v>5613.01</v>
      </c>
      <c r="G15" s="9" t="n">
        <f aca="false">('Balance Sheet'!G17-'Balance Sheet'!F17)</f>
        <v>12079.42</v>
      </c>
      <c r="H15" s="9" t="n">
        <f aca="false">('Balance Sheet'!H17-'Balance Sheet'!G17)</f>
        <v>5499.47</v>
      </c>
      <c r="I15" s="9" t="n">
        <f aca="false">('Balance Sheet'!I17-'Balance Sheet'!H17)</f>
        <v>-3963.98</v>
      </c>
      <c r="J15" s="9" t="n">
        <f aca="false">('Balance Sheet'!J17-'Balance Sheet'!I17)</f>
        <v>2150.49000000001</v>
      </c>
      <c r="K15" s="9" t="n">
        <f aca="false">('Balance Sheet'!K17-'Balance Sheet'!J17)</f>
        <v>11944.79</v>
      </c>
      <c r="L15" s="33" t="n">
        <f aca="false">('Balance Sheet'!L17-'Balance Sheet'!K17)</f>
        <v>4252.15189488</v>
      </c>
      <c r="M15" s="33" t="n">
        <f aca="false">('Balance Sheet'!M17-'Balance Sheet'!L17)</f>
        <v>4536.5953437361</v>
      </c>
      <c r="N15" s="33" t="n">
        <f aca="false">('Balance Sheet'!N17-'Balance Sheet'!M17)</f>
        <v>4840.06635265998</v>
      </c>
      <c r="O15" s="33" t="n">
        <f aca="false">('Balance Sheet'!O17-'Balance Sheet'!N17)</f>
        <v>5163.83775125482</v>
      </c>
      <c r="P15" s="33" t="n">
        <f aca="false">('Balance Sheet'!P17-'Balance Sheet'!O17)</f>
        <v>5509.26751378726</v>
      </c>
    </row>
    <row r="16" customFormat="false" ht="15" hidden="false" customHeight="false" outlineLevel="0" collapsed="false">
      <c r="A16" s="31" t="s">
        <v>210</v>
      </c>
      <c r="B16" s="9" t="n">
        <f aca="false">('Balance Sheet'!B18-0)</f>
        <v>0</v>
      </c>
      <c r="C16" s="9" t="n">
        <f aca="false">('Balance Sheet'!C18-'Balance Sheet'!B18)</f>
        <v>0</v>
      </c>
      <c r="D16" s="9" t="n">
        <f aca="false">('Balance Sheet'!D18-'Balance Sheet'!C18)</f>
        <v>0</v>
      </c>
      <c r="E16" s="9" t="n">
        <f aca="false">('Balance Sheet'!E18-'Balance Sheet'!D18)</f>
        <v>0</v>
      </c>
      <c r="F16" s="9" t="n">
        <f aca="false">('Balance Sheet'!F18-'Balance Sheet'!E18)</f>
        <v>0</v>
      </c>
      <c r="G16" s="9" t="n">
        <f aca="false">('Balance Sheet'!G18-'Balance Sheet'!F18)</f>
        <v>0</v>
      </c>
      <c r="H16" s="9" t="n">
        <f aca="false">('Balance Sheet'!H18-'Balance Sheet'!G18)</f>
        <v>0</v>
      </c>
      <c r="I16" s="9" t="n">
        <f aca="false">('Balance Sheet'!I18-'Balance Sheet'!H18)</f>
        <v>0</v>
      </c>
      <c r="J16" s="9" t="n">
        <f aca="false">('Balance Sheet'!J18-'Balance Sheet'!I18)</f>
        <v>0</v>
      </c>
      <c r="K16" s="9" t="n">
        <f aca="false">('Balance Sheet'!K18-'Balance Sheet'!J18)</f>
        <v>0</v>
      </c>
      <c r="L16" s="33" t="n">
        <f aca="false">('Balance Sheet'!L18-'Balance Sheet'!K18)</f>
        <v>0</v>
      </c>
      <c r="M16" s="33" t="n">
        <f aca="false">('Balance Sheet'!M18-'Balance Sheet'!L18)</f>
        <v>0</v>
      </c>
      <c r="N16" s="33" t="n">
        <f aca="false">('Balance Sheet'!N18-'Balance Sheet'!M18)</f>
        <v>0</v>
      </c>
      <c r="O16" s="33" t="n">
        <f aca="false">('Balance Sheet'!O18-'Balance Sheet'!N18)</f>
        <v>0</v>
      </c>
      <c r="P16" s="33" t="n">
        <f aca="false">('Balance Sheet'!P18-'Balance Sheet'!O18)</f>
        <v>0</v>
      </c>
    </row>
    <row r="17" customFormat="false" ht="15" hidden="false" customHeight="false" outlineLevel="0" collapsed="false">
      <c r="A17" s="31" t="s">
        <v>211</v>
      </c>
      <c r="B17" s="9" t="n">
        <f aca="false">-(Schedules!B22)</f>
        <v>-269.22</v>
      </c>
      <c r="C17" s="9" t="n">
        <f aca="false">-(Schedules!C22)</f>
        <v>-414.19</v>
      </c>
      <c r="D17" s="9" t="n">
        <f aca="false">-(Schedules!D22)</f>
        <v>-41.42</v>
      </c>
      <c r="E17" s="9" t="n">
        <f aca="false">-(Schedules!E22)</f>
        <v>-650.16</v>
      </c>
      <c r="F17" s="9" t="n">
        <f aca="false">-(Schedules!F22)</f>
        <v>-1015.88</v>
      </c>
      <c r="G17" s="9" t="n">
        <f aca="false">-(Schedules!G22)</f>
        <v>-1056.18</v>
      </c>
      <c r="H17" s="9" t="n">
        <f aca="false">-(Schedules!H22)</f>
        <v>-1080.08</v>
      </c>
      <c r="I17" s="9" t="n">
        <f aca="false">-(Schedules!I22)</f>
        <v>-1296.09</v>
      </c>
      <c r="J17" s="9" t="n">
        <f aca="false">-(Schedules!J22)</f>
        <v>-1512.1</v>
      </c>
      <c r="K17" s="9" t="n">
        <f aca="false">-(Schedules!K22)</f>
        <v>-1727.96</v>
      </c>
      <c r="L17" s="33" t="n">
        <f aca="false">-(Schedules!L22)</f>
        <v>-1969.70642345943</v>
      </c>
      <c r="M17" s="33" t="n">
        <f aca="false">-(Schedules!M22)</f>
        <v>-2303.06027921329</v>
      </c>
      <c r="N17" s="33" t="n">
        <f aca="false">-(Schedules!N22)</f>
        <v>-2734.06531788818</v>
      </c>
      <c r="O17" s="33" t="n">
        <f aca="false">-(Schedules!O22)</f>
        <v>-3239.99431102396</v>
      </c>
      <c r="P17" s="33" t="n">
        <f aca="false">-(Schedules!P22)</f>
        <v>-3682.36138244989</v>
      </c>
    </row>
    <row r="18" customFormat="false" ht="15" hidden="false" customHeight="false" outlineLevel="0" collapsed="false">
      <c r="A18" s="31" t="s">
        <v>167</v>
      </c>
      <c r="B18" s="9" t="n">
        <f aca="false">Drivers!B27</f>
        <v>0</v>
      </c>
      <c r="C18" s="9" t="n">
        <f aca="false">Drivers!C27</f>
        <v>0</v>
      </c>
      <c r="D18" s="9" t="n">
        <f aca="false">Drivers!D27</f>
        <v>0</v>
      </c>
      <c r="E18" s="9" t="n">
        <f aca="false">Drivers!E27</f>
        <v>0</v>
      </c>
      <c r="F18" s="9" t="n">
        <f aca="false">Drivers!F27</f>
        <v>0</v>
      </c>
      <c r="G18" s="9" t="n">
        <f aca="false">Drivers!G27</f>
        <v>0</v>
      </c>
      <c r="H18" s="9" t="n">
        <f aca="false">Drivers!H27</f>
        <v>0</v>
      </c>
      <c r="I18" s="9" t="n">
        <f aca="false">Drivers!I27</f>
        <v>0</v>
      </c>
      <c r="J18" s="9" t="n">
        <f aca="false">Drivers!J27</f>
        <v>0</v>
      </c>
      <c r="K18" s="9" t="n">
        <f aca="false">Drivers!K27</f>
        <v>0</v>
      </c>
      <c r="L18" s="33" t="n">
        <f aca="false">Drivers!L27</f>
        <v>0</v>
      </c>
      <c r="M18" s="33" t="n">
        <f aca="false">Drivers!M27</f>
        <v>0</v>
      </c>
      <c r="N18" s="33" t="n">
        <f aca="false">Drivers!N27</f>
        <v>0</v>
      </c>
      <c r="O18" s="33" t="n">
        <f aca="false">Drivers!O27</f>
        <v>0</v>
      </c>
      <c r="P18" s="33" t="n">
        <f aca="false">Drivers!P27</f>
        <v>0</v>
      </c>
    </row>
    <row r="19" customFormat="false" ht="15" hidden="false" customHeight="false" outlineLevel="0" collapsed="false">
      <c r="A19" s="6" t="s">
        <v>212</v>
      </c>
      <c r="B19" s="61" t="n">
        <f aca="false">(((B15+B16)+B17)+B18)</f>
        <v>21945.04</v>
      </c>
      <c r="C19" s="61" t="n">
        <f aca="false">(((C15+C16)+C17)+C18)</f>
        <v>-258.409999999998</v>
      </c>
      <c r="D19" s="61" t="n">
        <f aca="false">(((D15+D16)+D17)+D18)</f>
        <v>5300.08</v>
      </c>
      <c r="E19" s="61" t="n">
        <f aca="false">(((E15+E16)+E17)+E18)</f>
        <v>1880.62</v>
      </c>
      <c r="F19" s="61" t="n">
        <f aca="false">(((F15+F16)+F17)+F18)</f>
        <v>4597.13</v>
      </c>
      <c r="G19" s="61" t="n">
        <f aca="false">(((G15+G16)+G17)+G18)</f>
        <v>11023.24</v>
      </c>
      <c r="H19" s="61" t="n">
        <f aca="false">(((H15+H16)+H17)+H18)</f>
        <v>4419.39</v>
      </c>
      <c r="I19" s="61" t="n">
        <f aca="false">(((I15+I16)+I17)+I18)</f>
        <v>-5260.07</v>
      </c>
      <c r="J19" s="61" t="n">
        <f aca="false">(((J15+J16)+J17)+J18)</f>
        <v>638.390000000005</v>
      </c>
      <c r="K19" s="61" t="n">
        <f aca="false">(((K15+K16)+K17)+K18)</f>
        <v>10216.83</v>
      </c>
      <c r="L19" s="62" t="n">
        <f aca="false">(((L15+L16)+L17)+L18)</f>
        <v>2282.44547142057</v>
      </c>
      <c r="M19" s="62" t="n">
        <f aca="false">(((M15+M16)+M17)+M18)</f>
        <v>2233.53506452281</v>
      </c>
      <c r="N19" s="62" t="n">
        <f aca="false">(((N15+N16)+N17)+N18)</f>
        <v>2106.0010347718</v>
      </c>
      <c r="O19" s="62" t="n">
        <f aca="false">(((O15+O16)+O17)+O18)</f>
        <v>1923.84344023086</v>
      </c>
      <c r="P19" s="62" t="n">
        <f aca="false">(((P15+P16)+P17)+P18)</f>
        <v>1826.90613133737</v>
      </c>
    </row>
    <row r="20" customFormat="false" ht="15" hidden="false" customHeight="false" outlineLevel="0" collapsed="false">
      <c r="A20" s="27" t="s">
        <v>213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customFormat="false" ht="15" hidden="false" customHeight="false" outlineLevel="0" collapsed="false">
      <c r="A21" s="6" t="s">
        <v>214</v>
      </c>
      <c r="B21" s="63" t="n">
        <f aca="false">((B9+B13)+B19)</f>
        <v>10306.81</v>
      </c>
      <c r="C21" s="63" t="n">
        <f aca="false">((C9+C13)+C19)</f>
        <v>873.210000000003</v>
      </c>
      <c r="D21" s="63" t="n">
        <f aca="false">((D9+D13)+D19)</f>
        <v>3479.18</v>
      </c>
      <c r="E21" s="63" t="n">
        <f aca="false">((E9+E13)+E19)</f>
        <v>3374.89</v>
      </c>
      <c r="F21" s="63" t="n">
        <f aca="false">((F9+F13)+F19)</f>
        <v>-3619.43</v>
      </c>
      <c r="G21" s="63" t="n">
        <f aca="false">((G9+G13)+G19)</f>
        <v>-1583.48</v>
      </c>
      <c r="H21" s="63" t="n">
        <f aca="false">((H9+H13)+H19)</f>
        <v>-5672.03</v>
      </c>
      <c r="I21" s="63" t="n">
        <f aca="false">((I9+I13)+I19)</f>
        <v>2723.27</v>
      </c>
      <c r="J21" s="63" t="n">
        <f aca="false">((J9+J13)+J19)</f>
        <v>-936.31999999999</v>
      </c>
      <c r="K21" s="63" t="n">
        <f aca="false">((K9+K13)+K19)</f>
        <v>-20734.12</v>
      </c>
      <c r="L21" s="64" t="n">
        <f aca="false">((L9+L13)+L19)</f>
        <v>2066.9683685162</v>
      </c>
      <c r="M21" s="64" t="n">
        <f aca="false">((M9+M13)+M19)</f>
        <v>7621.07420307529</v>
      </c>
      <c r="N21" s="64" t="n">
        <f aca="false">((N9+N13)+N19)</f>
        <v>8555.92621334119</v>
      </c>
      <c r="O21" s="64" t="n">
        <f aca="false">((O9+O13)+O19)</f>
        <v>9924.05780653557</v>
      </c>
      <c r="P21" s="64" t="n">
        <f aca="false">((P9+P13)+P19)</f>
        <v>12969.0721075076</v>
      </c>
    </row>
    <row r="22" customFormat="false" ht="15" hidden="false" customHeight="false" outlineLevel="0" collapsed="false">
      <c r="A22" s="31" t="s">
        <v>215</v>
      </c>
      <c r="B22" s="52" t="n">
        <f aca="false">0</f>
        <v>0</v>
      </c>
      <c r="C22" s="9" t="n">
        <f aca="false">'Balance Sheet'!B6</f>
        <v>1976.8</v>
      </c>
      <c r="D22" s="9" t="n">
        <f aca="false">'Balance Sheet'!C6</f>
        <v>2967.55</v>
      </c>
      <c r="E22" s="9" t="n">
        <f aca="false">'Balance Sheet'!D6</f>
        <v>5967.3</v>
      </c>
      <c r="F22" s="9" t="n">
        <f aca="false">'Balance Sheet'!E6</f>
        <v>7313.86</v>
      </c>
      <c r="G22" s="9" t="n">
        <f aca="false">'Balance Sheet'!F6</f>
        <v>4700.78</v>
      </c>
      <c r="H22" s="9" t="n">
        <f aca="false">'Balance Sheet'!G6</f>
        <v>10667.41</v>
      </c>
      <c r="I22" s="9" t="n">
        <f aca="false">'Balance Sheet'!H6</f>
        <v>4334.31</v>
      </c>
      <c r="J22" s="9" t="n">
        <f aca="false">'Balance Sheet'!I6</f>
        <v>7631.88</v>
      </c>
      <c r="K22" s="9" t="n">
        <f aca="false">'Balance Sheet'!J6</f>
        <v>6605.97</v>
      </c>
      <c r="L22" s="33" t="n">
        <f aca="false">'Balance Sheet'!K6</f>
        <v>8483.51</v>
      </c>
      <c r="M22" s="33" t="n">
        <f aca="false">'Balance Sheet'!L6</f>
        <v>10550.4783685162</v>
      </c>
      <c r="N22" s="33" t="n">
        <f aca="false">'Balance Sheet'!M6</f>
        <v>18171.5525715915</v>
      </c>
      <c r="O22" s="33" t="n">
        <f aca="false">'Balance Sheet'!N6</f>
        <v>26727.4787849327</v>
      </c>
      <c r="P22" s="33" t="n">
        <f aca="false">'Balance Sheet'!O6</f>
        <v>36651.5365914683</v>
      </c>
    </row>
    <row r="23" customFormat="false" ht="15" hidden="false" customHeight="false" outlineLevel="0" collapsed="false">
      <c r="A23" s="6" t="s">
        <v>216</v>
      </c>
      <c r="B23" s="61" t="n">
        <f aca="false">(B22+B21)</f>
        <v>10306.81</v>
      </c>
      <c r="C23" s="61" t="n">
        <f aca="false">(C22+C21)</f>
        <v>2850.01</v>
      </c>
      <c r="D23" s="61" t="n">
        <f aca="false">(D22+D21)</f>
        <v>6446.73</v>
      </c>
      <c r="E23" s="61" t="n">
        <f aca="false">(E22+E21)</f>
        <v>9342.19</v>
      </c>
      <c r="F23" s="61" t="n">
        <f aca="false">(F22+F21)</f>
        <v>3694.43</v>
      </c>
      <c r="G23" s="61" t="n">
        <f aca="false">(G22+G21)</f>
        <v>3117.3</v>
      </c>
      <c r="H23" s="61" t="n">
        <f aca="false">(H22+H21)</f>
        <v>4995.38</v>
      </c>
      <c r="I23" s="61" t="n">
        <f aca="false">(I22+I21)</f>
        <v>7057.58</v>
      </c>
      <c r="J23" s="61" t="n">
        <f aca="false">(J22+J21)</f>
        <v>6695.56000000001</v>
      </c>
      <c r="K23" s="61" t="n">
        <f aca="false">(K22+K21)</f>
        <v>-14128.15</v>
      </c>
      <c r="L23" s="62" t="n">
        <f aca="false">(L22+L21)</f>
        <v>10550.4783685162</v>
      </c>
      <c r="M23" s="62" t="n">
        <f aca="false">(M22+M21)</f>
        <v>18171.5525715915</v>
      </c>
      <c r="N23" s="62" t="n">
        <f aca="false">(N22+N21)</f>
        <v>26727.4787849327</v>
      </c>
      <c r="O23" s="62" t="n">
        <f aca="false">(O22+O21)</f>
        <v>36651.5365914683</v>
      </c>
      <c r="P23" s="62" t="n">
        <f aca="false">(P22+P21)</f>
        <v>49620.6086989759</v>
      </c>
    </row>
    <row r="24" customFormat="false" ht="15" hidden="false" customHeight="false" outlineLevel="0" collapsed="false">
      <c r="A24" s="27" t="s">
        <v>217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customFormat="false" ht="15" hidden="false" customHeight="false" outlineLevel="0" collapsed="false">
      <c r="A25" s="31" t="s">
        <v>218</v>
      </c>
      <c r="B25" s="55" t="n">
        <v>4062.57</v>
      </c>
      <c r="C25" s="55" t="n">
        <v>5608.14</v>
      </c>
      <c r="D25" s="55" t="n">
        <v>6029.4</v>
      </c>
      <c r="E25" s="55" t="n">
        <v>7401.81</v>
      </c>
      <c r="F25" s="55" t="n">
        <v>7555.78</v>
      </c>
      <c r="G25" s="55" t="n">
        <v>10420.14</v>
      </c>
      <c r="H25" s="55" t="n">
        <v>11899.5</v>
      </c>
      <c r="I25" s="55" t="n">
        <v>15017.58</v>
      </c>
      <c r="J25" s="55" t="n">
        <v>17226.28</v>
      </c>
      <c r="K25" s="55" t="n">
        <v>20356.25</v>
      </c>
      <c r="L25" s="58" t="n">
        <f aca="false">0</f>
        <v>0</v>
      </c>
      <c r="M25" s="58" t="n">
        <f aca="false">0</f>
        <v>0</v>
      </c>
      <c r="N25" s="58" t="n">
        <f aca="false">0</f>
        <v>0</v>
      </c>
      <c r="O25" s="58" t="n">
        <f aca="false">0</f>
        <v>0</v>
      </c>
      <c r="P25" s="58" t="n">
        <f aca="false">0</f>
        <v>0</v>
      </c>
    </row>
    <row r="26" customFormat="false" ht="15" hidden="false" customHeight="false" outlineLevel="0" collapsed="false">
      <c r="A26" s="31" t="s">
        <v>219</v>
      </c>
      <c r="B26" s="55" t="n">
        <v>-2629.15</v>
      </c>
      <c r="C26" s="55" t="n">
        <v>-3845.84</v>
      </c>
      <c r="D26" s="55" t="n">
        <v>-4368.03</v>
      </c>
      <c r="E26" s="55" t="n">
        <v>-748.91</v>
      </c>
      <c r="F26" s="55" t="n">
        <v>-14064.12</v>
      </c>
      <c r="G26" s="55" t="n">
        <v>-5493.13</v>
      </c>
      <c r="H26" s="55" t="n">
        <v>-16715.93</v>
      </c>
      <c r="I26" s="55" t="n">
        <v>-6946.55</v>
      </c>
      <c r="J26" s="55" t="n">
        <v>-9787.53</v>
      </c>
      <c r="K26" s="55" t="n">
        <v>-13190.7</v>
      </c>
      <c r="L26" s="58" t="n">
        <f aca="false">0</f>
        <v>0</v>
      </c>
      <c r="M26" s="58" t="n">
        <f aca="false">0</f>
        <v>0</v>
      </c>
      <c r="N26" s="58" t="n">
        <f aca="false">0</f>
        <v>0</v>
      </c>
      <c r="O26" s="58" t="n">
        <f aca="false">0</f>
        <v>0</v>
      </c>
      <c r="P26" s="58" t="n">
        <f aca="false">0</f>
        <v>0</v>
      </c>
    </row>
    <row r="27" customFormat="false" ht="15" hidden="false" customHeight="false" outlineLevel="0" collapsed="false">
      <c r="A27" s="31" t="s">
        <v>220</v>
      </c>
      <c r="B27" s="55" t="n">
        <v>-1324.71</v>
      </c>
      <c r="C27" s="55" t="n">
        <v>-1889.03</v>
      </c>
      <c r="D27" s="55" t="n">
        <v>2313.34</v>
      </c>
      <c r="E27" s="55" t="n">
        <v>-4255.63</v>
      </c>
      <c r="F27" s="55" t="n">
        <v>3513.85</v>
      </c>
      <c r="G27" s="55" t="n">
        <v>-585.77</v>
      </c>
      <c r="H27" s="55" t="n">
        <v>-2733.8</v>
      </c>
      <c r="I27" s="55" t="n">
        <v>-7800.11</v>
      </c>
      <c r="J27" s="55" t="n">
        <v>-6915.52</v>
      </c>
      <c r="K27" s="55" t="n">
        <v>-5483.4</v>
      </c>
      <c r="L27" s="58" t="n">
        <f aca="false">0</f>
        <v>0</v>
      </c>
      <c r="M27" s="58" t="n">
        <f aca="false">0</f>
        <v>0</v>
      </c>
      <c r="N27" s="58" t="n">
        <f aca="false">0</f>
        <v>0</v>
      </c>
      <c r="O27" s="58" t="n">
        <f aca="false">0</f>
        <v>0</v>
      </c>
      <c r="P27" s="58" t="n">
        <f aca="false">0</f>
        <v>0</v>
      </c>
    </row>
    <row r="28" customFormat="false" ht="15" hidden="false" customHeight="false" outlineLevel="0" collapsed="false">
      <c r="A28" s="31" t="s">
        <v>221</v>
      </c>
      <c r="B28" s="65" t="n">
        <f aca="false">(B9-B25)</f>
        <v>-10025.47</v>
      </c>
      <c r="C28" s="65" t="n">
        <f aca="false">(C9-C25)</f>
        <v>-1722.59</v>
      </c>
      <c r="D28" s="65" t="n">
        <f aca="false">(D9-D25)</f>
        <v>-1384.01</v>
      </c>
      <c r="E28" s="65" t="n">
        <f aca="false">(E9-E25)</f>
        <v>-505.62</v>
      </c>
      <c r="F28" s="65" t="n">
        <f aca="false">(F9-F25)</f>
        <v>3450.4</v>
      </c>
      <c r="G28" s="65" t="n">
        <f aca="false">(G9-G25)</f>
        <v>-4415.24</v>
      </c>
      <c r="H28" s="65" t="n">
        <f aca="false">(H9-H25)</f>
        <v>-2010.62</v>
      </c>
      <c r="I28" s="65" t="n">
        <f aca="false">(I9-I25)</f>
        <v>934.630000000001</v>
      </c>
      <c r="J28" s="65" t="n">
        <f aca="false">(J9-J25)</f>
        <v>1187.25</v>
      </c>
      <c r="K28" s="65" t="n">
        <f aca="false">(K9-K25)</f>
        <v>-1981.49000000001</v>
      </c>
      <c r="L28" s="66" t="n">
        <f aca="false">(L9-L25)</f>
        <v>19244.3939067476</v>
      </c>
      <c r="M28" s="66" t="n">
        <f aca="false">(M9-M25)</f>
        <v>23618.5122156429</v>
      </c>
      <c r="N28" s="66" t="n">
        <f aca="false">(N9-N25)</f>
        <v>26965.3844400563</v>
      </c>
      <c r="O28" s="66" t="n">
        <f aca="false">(O9-O25)</f>
        <v>30923.1096120272</v>
      </c>
      <c r="P28" s="66" t="n">
        <f aca="false">(P9-P25)</f>
        <v>34652.3382657155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223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31" t="s">
        <v>224</v>
      </c>
      <c r="B6" s="52" t="n">
        <f aca="false">0</f>
        <v>0</v>
      </c>
      <c r="C6" s="9" t="n">
        <f aca="false">'Balance Sheet'!B10</f>
        <v>21053.5</v>
      </c>
      <c r="D6" s="9" t="n">
        <f aca="false">'Balance Sheet'!C10</f>
        <v>22670.01</v>
      </c>
      <c r="E6" s="9" t="n">
        <f aca="false">'Balance Sheet'!D10</f>
        <v>28121.42</v>
      </c>
      <c r="F6" s="9" t="n">
        <f aca="false">'Balance Sheet'!E10</f>
        <v>32714.51</v>
      </c>
      <c r="G6" s="9" t="n">
        <f aca="false">'Balance Sheet'!F10</f>
        <v>48290.96</v>
      </c>
      <c r="H6" s="9" t="n">
        <f aca="false">'Balance Sheet'!G10</f>
        <v>62552.92</v>
      </c>
      <c r="I6" s="9" t="n">
        <f aca="false">'Balance Sheet'!H10</f>
        <v>72223.73</v>
      </c>
      <c r="J6" s="9" t="n">
        <f aca="false">'Balance Sheet'!I10</f>
        <v>75147.81</v>
      </c>
      <c r="K6" s="9" t="n">
        <f aca="false">'Balance Sheet'!J10</f>
        <v>89616.32</v>
      </c>
      <c r="L6" s="33" t="n">
        <f aca="false">'Balance Sheet'!K10</f>
        <v>131652.5</v>
      </c>
      <c r="M6" s="33" t="n">
        <f aca="false">'Balance Sheet'!L10</f>
        <v>138607.49234293</v>
      </c>
      <c r="N6" s="33" t="n">
        <f aca="false">'Balance Sheet'!M10</f>
        <v>146526.286735102</v>
      </c>
      <c r="O6" s="33" t="n">
        <f aca="false">'Balance Sheet'!N10</f>
        <v>155685.272967819</v>
      </c>
      <c r="P6" s="33" t="n">
        <f aca="false">'Balance Sheet'!O10</f>
        <v>166228.332603398</v>
      </c>
    </row>
    <row r="7" customFormat="false" ht="15" hidden="false" customHeight="false" outlineLevel="0" collapsed="false">
      <c r="A7" s="31" t="s">
        <v>206</v>
      </c>
      <c r="B7" s="55" t="n">
        <v>0</v>
      </c>
      <c r="C7" s="55" t="n">
        <v>2804.88</v>
      </c>
      <c r="D7" s="55" t="n">
        <v>6824.89</v>
      </c>
      <c r="E7" s="55" t="n">
        <v>6273.37</v>
      </c>
      <c r="F7" s="55" t="n">
        <v>17683.79</v>
      </c>
      <c r="G7" s="55" t="n">
        <v>17361.26</v>
      </c>
      <c r="H7" s="55" t="n">
        <v>13095.52</v>
      </c>
      <c r="I7" s="55" t="n">
        <v>6812.54</v>
      </c>
      <c r="J7" s="55" t="n">
        <v>18847.44</v>
      </c>
      <c r="K7" s="55" t="n">
        <v>47553.56</v>
      </c>
      <c r="L7" s="33" t="n">
        <f aca="false">('Income Statement'!L6*Drivers!L11)</f>
        <v>14576.61887293</v>
      </c>
      <c r="M7" s="33" t="n">
        <f aca="false">('Income Statement'!M6*Drivers!M11)</f>
        <v>15943.0593388892</v>
      </c>
      <c r="N7" s="33" t="n">
        <f aca="false">('Income Statement'!N6*Drivers!N11)</f>
        <v>17641.6860243856</v>
      </c>
      <c r="O7" s="33" t="n">
        <f aca="false">('Income Statement'!O6*Drivers!O11)</f>
        <v>19555.9914582317</v>
      </c>
      <c r="P7" s="33" t="n">
        <f aca="false">('Income Statement'!P6*Drivers!P11)</f>
        <v>20354.5743379939</v>
      </c>
    </row>
    <row r="8" customFormat="false" ht="15" hidden="false" customHeight="false" outlineLevel="0" collapsed="false">
      <c r="A8" s="31" t="s">
        <v>225</v>
      </c>
      <c r="B8" s="9" t="n">
        <f aca="false">'Income Statement'!B11</f>
        <v>1160.19</v>
      </c>
      <c r="C8" s="9" t="n">
        <f aca="false">'Income Statement'!C11</f>
        <v>1188.37</v>
      </c>
      <c r="D8" s="9" t="n">
        <f aca="false">'Income Statement'!D11</f>
        <v>1373.48</v>
      </c>
      <c r="E8" s="9" t="n">
        <f aca="false">'Income Statement'!E11</f>
        <v>1680.28</v>
      </c>
      <c r="F8" s="9" t="n">
        <f aca="false">'Income Statement'!F11</f>
        <v>2107.34</v>
      </c>
      <c r="G8" s="9" t="n">
        <f aca="false">'Income Statement'!G11</f>
        <v>3099.3</v>
      </c>
      <c r="H8" s="9" t="n">
        <f aca="false">'Income Statement'!H11</f>
        <v>3424.71</v>
      </c>
      <c r="I8" s="9" t="n">
        <f aca="false">'Income Statement'!I11</f>
        <v>3888.46</v>
      </c>
      <c r="J8" s="9" t="n">
        <f aca="false">'Income Statement'!J11</f>
        <v>4378.93</v>
      </c>
      <c r="K8" s="9" t="n">
        <f aca="false">'Income Statement'!K11</f>
        <v>5517.38</v>
      </c>
      <c r="L8" s="33" t="n">
        <f aca="false">'Income Statement'!L11</f>
        <v>7621.62653</v>
      </c>
      <c r="M8" s="33" t="n">
        <f aca="false">'Income Statement'!M11</f>
        <v>8024.2649467169</v>
      </c>
      <c r="N8" s="33" t="n">
        <f aca="false">'Income Statement'!N11</f>
        <v>8482.69979166854</v>
      </c>
      <c r="O8" s="33" t="n">
        <f aca="false">'Income Statement'!O11</f>
        <v>9012.93182265299</v>
      </c>
      <c r="P8" s="33" t="n">
        <f aca="false">'Income Statement'!P11</f>
        <v>9623.29063107591</v>
      </c>
    </row>
    <row r="9" customFormat="false" ht="15" hidden="false" customHeight="false" outlineLevel="0" collapsed="false">
      <c r="A9" s="6" t="s">
        <v>226</v>
      </c>
      <c r="B9" s="61" t="n">
        <f aca="false">((B6+B7)-B8)</f>
        <v>-1160.19</v>
      </c>
      <c r="C9" s="61" t="n">
        <f aca="false">((C6+C7)-C8)</f>
        <v>22670.01</v>
      </c>
      <c r="D9" s="61" t="n">
        <f aca="false">((D6+D7)-D8)</f>
        <v>28121.42</v>
      </c>
      <c r="E9" s="61" t="n">
        <f aca="false">((E6+E7)-E8)</f>
        <v>32714.51</v>
      </c>
      <c r="F9" s="61" t="n">
        <f aca="false">((F6+F7)-F8)</f>
        <v>48290.96</v>
      </c>
      <c r="G9" s="61" t="n">
        <f aca="false">((G6+G7)-G8)</f>
        <v>62552.92</v>
      </c>
      <c r="H9" s="61" t="n">
        <f aca="false">((H6+H7)-H8)</f>
        <v>72223.73</v>
      </c>
      <c r="I9" s="61" t="n">
        <f aca="false">((I6+I7)-I8)</f>
        <v>75147.81</v>
      </c>
      <c r="J9" s="61" t="n">
        <f aca="false">((J6+J7)-J8)</f>
        <v>89616.32</v>
      </c>
      <c r="K9" s="61" t="n">
        <f aca="false">((K6+K7)-K8)</f>
        <v>131652.5</v>
      </c>
      <c r="L9" s="62" t="n">
        <f aca="false">((L6+L7)-L8)</f>
        <v>138607.49234293</v>
      </c>
      <c r="M9" s="62" t="n">
        <f aca="false">((M6+M7)-M8)</f>
        <v>146526.286735102</v>
      </c>
      <c r="N9" s="62" t="n">
        <f aca="false">((N6+N7)-N8)</f>
        <v>155685.272967819</v>
      </c>
      <c r="O9" s="62" t="n">
        <f aca="false">((O6+O7)-O8)</f>
        <v>166228.332603398</v>
      </c>
      <c r="P9" s="62" t="n">
        <f aca="false">((P6+P7)-P8)</f>
        <v>176959.616310316</v>
      </c>
    </row>
    <row r="10" customFormat="false" ht="15" hidden="false" customHeight="false" outlineLevel="0" collapsed="false">
      <c r="A10" s="27" t="s">
        <v>156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6" t="s">
        <v>227</v>
      </c>
      <c r="B11" s="29" t="n">
        <f aca="false">(((('Balance Sheet'!B7+'Balance Sheet'!B8)+'Balance Sheet'!B9)-'Balance Sheet'!B20)-'Balance Sheet'!B21)</f>
        <v>11034.61</v>
      </c>
      <c r="C11" s="29" t="n">
        <f aca="false">(((('Balance Sheet'!C7+'Balance Sheet'!C8)+'Balance Sheet'!C9)-'Balance Sheet'!C20)-'Balance Sheet'!C21)</f>
        <v>12011.05</v>
      </c>
      <c r="D11" s="29" t="n">
        <f aca="false">(((('Balance Sheet'!D7+'Balance Sheet'!D8)+'Balance Sheet'!D9)-'Balance Sheet'!D20)-'Balance Sheet'!D21)</f>
        <v>12729.36</v>
      </c>
      <c r="E11" s="29" t="n">
        <f aca="false">(((('Balance Sheet'!E7+'Balance Sheet'!E8)+'Balance Sheet'!E9)-'Balance Sheet'!E20)-'Balance Sheet'!E21)</f>
        <v>11276.58</v>
      </c>
      <c r="F11" s="29" t="n">
        <f aca="false">(((('Balance Sheet'!F7+'Balance Sheet'!F8)+'Balance Sheet'!F9)-'Balance Sheet'!F20)-'Balance Sheet'!F21)</f>
        <v>7372.04</v>
      </c>
      <c r="G11" s="29" t="n">
        <f aca="false">(((('Balance Sheet'!G7+'Balance Sheet'!G8)+'Balance Sheet'!G9)-'Balance Sheet'!G20)-'Balance Sheet'!G21)</f>
        <v>9352.47</v>
      </c>
      <c r="H11" s="29" t="n">
        <f aca="false">(((('Balance Sheet'!H7+'Balance Sheet'!H8)+'Balance Sheet'!H9)-'Balance Sheet'!H20)-'Balance Sheet'!H21)</f>
        <v>8197.15</v>
      </c>
      <c r="I11" s="29" t="n">
        <f aca="false">(((('Balance Sheet'!I7+'Balance Sheet'!I8)+'Balance Sheet'!I9)-'Balance Sheet'!I20)-'Balance Sheet'!I21)</f>
        <v>4244.04</v>
      </c>
      <c r="J11" s="29" t="n">
        <f aca="false">(((('Balance Sheet'!J7+'Balance Sheet'!J8)+'Balance Sheet'!J9)-'Balance Sheet'!J20)-'Balance Sheet'!J21)</f>
        <v>1301.75</v>
      </c>
      <c r="K11" s="29" t="n">
        <f aca="false">(((('Balance Sheet'!K7+'Balance Sheet'!K8)+'Balance Sheet'!K9)-'Balance Sheet'!K20)-'Balance Sheet'!K21)</f>
        <v>1250.58</v>
      </c>
      <c r="L11" s="30" t="n">
        <f aca="false">(((('Balance Sheet'!L7+'Balance Sheet'!L8)+'Balance Sheet'!L9)-'Balance Sheet'!L20)-'Balance Sheet'!L21)</f>
        <v>3336.41221304274</v>
      </c>
      <c r="M11" s="30" t="n">
        <f aca="false">(((('Balance Sheet'!M7+'Balance Sheet'!M8)+'Balance Sheet'!M9)-'Balance Sheet'!M20)-'Balance Sheet'!M21)</f>
        <v>3770.81308318091</v>
      </c>
      <c r="N11" s="30" t="n">
        <f aca="false">(((('Balance Sheet'!N7+'Balance Sheet'!N8)+'Balance Sheet'!N9)-'Balance Sheet'!N20)-'Balance Sheet'!N21)</f>
        <v>4316.44973631718</v>
      </c>
      <c r="O11" s="30" t="n">
        <f aca="false">(((('Balance Sheet'!O7+'Balance Sheet'!O8)+'Balance Sheet'!O9)-'Balance Sheet'!O20)-'Balance Sheet'!O21)</f>
        <v>4955.71594226575</v>
      </c>
      <c r="P11" s="30" t="n">
        <f aca="false">(((('Balance Sheet'!P7+'Balance Sheet'!P8)+'Balance Sheet'!P9)-'Balance Sheet'!P20)-'Balance Sheet'!P21)</f>
        <v>5554.86199968569</v>
      </c>
    </row>
    <row r="12" customFormat="false" ht="15" hidden="false" customHeight="false" outlineLevel="0" collapsed="false">
      <c r="A12" s="31" t="s">
        <v>228</v>
      </c>
      <c r="B12" s="52" t="n">
        <f aca="false">(B11-0)</f>
        <v>11034.61</v>
      </c>
      <c r="C12" s="52" t="n">
        <f aca="false">(C11-B11)</f>
        <v>976.439999999999</v>
      </c>
      <c r="D12" s="52" t="n">
        <f aca="false">(D11-C11)</f>
        <v>718.310000000001</v>
      </c>
      <c r="E12" s="52" t="n">
        <f aca="false">(E11-D11)</f>
        <v>-1452.78</v>
      </c>
      <c r="F12" s="52" t="n">
        <f aca="false">(F11-E11)</f>
        <v>-3904.54</v>
      </c>
      <c r="G12" s="52" t="n">
        <f aca="false">(G11-F11)</f>
        <v>1980.43</v>
      </c>
      <c r="H12" s="52" t="n">
        <f aca="false">(H11-G11)</f>
        <v>-1155.32</v>
      </c>
      <c r="I12" s="52" t="n">
        <f aca="false">(I11-H11)</f>
        <v>-3953.11</v>
      </c>
      <c r="J12" s="52" t="n">
        <f aca="false">(J11-I11)</f>
        <v>-2942.29</v>
      </c>
      <c r="K12" s="52" t="n">
        <f aca="false">(K11-J11)</f>
        <v>-51.1699999999946</v>
      </c>
      <c r="L12" s="58" t="n">
        <f aca="false">(L11-K11)</f>
        <v>2085.83221304273</v>
      </c>
      <c r="M12" s="58" t="n">
        <f aca="false">(M11-L11)</f>
        <v>434.400870138172</v>
      </c>
      <c r="N12" s="58" t="n">
        <f aca="false">(N11-M11)</f>
        <v>545.636653136276</v>
      </c>
      <c r="O12" s="58" t="n">
        <f aca="false">(O11-N11)</f>
        <v>639.266205948567</v>
      </c>
      <c r="P12" s="58" t="n">
        <f aca="false">(P11-O11)</f>
        <v>599.146057419937</v>
      </c>
    </row>
    <row r="13" customFormat="false" ht="15" hidden="false" customHeight="false" outlineLevel="0" collapsed="false">
      <c r="A13" s="31" t="s">
        <v>229</v>
      </c>
      <c r="B13" s="50" t="n">
        <f aca="false">(IFERROR((B11)/('Income Statement'!B6),0)*365)</f>
        <v>477.244414557993</v>
      </c>
      <c r="C13" s="50" t="n">
        <f aca="false">(IFERROR((C11)/('Income Statement'!C6),0)*365)</f>
        <v>387.180847587557</v>
      </c>
      <c r="D13" s="50" t="n">
        <f aca="false">(IFERROR((D11)/('Income Statement'!D6),0)*365)</f>
        <v>425.265838263722</v>
      </c>
      <c r="E13" s="50" t="n">
        <f aca="false">(IFERROR((E11)/('Income Statement'!E6),0)*365)</f>
        <v>346.6628007752</v>
      </c>
      <c r="F13" s="50" t="n">
        <f aca="false">(IFERROR((F11)/('Income Statement'!F6),0)*365)</f>
        <v>214.412778096513</v>
      </c>
      <c r="G13" s="50" t="n">
        <f aca="false">(IFERROR((G11)/('Income Statement'!G6),0)*365)</f>
        <v>199.409628250595</v>
      </c>
      <c r="H13" s="50" t="n">
        <f aca="false">(IFERROR((H11)/('Income Statement'!H6),0)*365)</f>
        <v>143.486124292691</v>
      </c>
      <c r="I13" s="50" t="n">
        <f aca="false">(IFERROR((I11)/('Income Statement'!I6),0)*365)</f>
        <v>57.9948379966575</v>
      </c>
      <c r="J13" s="50" t="n">
        <f aca="false">(IFERROR((J11)/('Income Statement'!J6),0)*365)</f>
        <v>15.5909304345514</v>
      </c>
      <c r="K13" s="50" t="n">
        <f aca="false">(IFERROR((K11)/('Income Statement'!K6),0)*365)</f>
        <v>11.7839841572789</v>
      </c>
      <c r="L13" s="67" t="n">
        <f aca="false">(IFERROR((L11)/('Income Statement'!L6),0)*365)</f>
        <v>25.89867</v>
      </c>
      <c r="M13" s="67" t="n">
        <f aca="false">(IFERROR((M11)/('Income Statement'!M6),0)*365)</f>
        <v>25.89867</v>
      </c>
      <c r="N13" s="67" t="n">
        <f aca="false">(IFERROR((N11)/('Income Statement'!N6),0)*365)</f>
        <v>25.89867</v>
      </c>
      <c r="O13" s="67" t="n">
        <f aca="false">(IFERROR((O11)/('Income Statement'!O6),0)*365)</f>
        <v>25.89867</v>
      </c>
      <c r="P13" s="67" t="n">
        <f aca="false">(IFERROR((P11)/('Income Statement'!P6),0)*365)</f>
        <v>25.89867</v>
      </c>
    </row>
    <row r="14" customFormat="false" ht="15" hidden="false" customHeight="false" outlineLevel="0" collapsed="false">
      <c r="A14" s="27" t="s">
        <v>230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customFormat="false" ht="15" hidden="false" customHeight="false" outlineLevel="0" collapsed="false">
      <c r="A15" s="31" t="s">
        <v>231</v>
      </c>
      <c r="B15" s="52" t="n">
        <f aca="false">0</f>
        <v>0</v>
      </c>
      <c r="C15" s="9" t="n">
        <f aca="false">'Balance Sheet'!B17</f>
        <v>22214.26</v>
      </c>
      <c r="D15" s="9" t="n">
        <f aca="false">'Balance Sheet'!C17</f>
        <v>22370.04</v>
      </c>
      <c r="E15" s="9" t="n">
        <f aca="false">'Balance Sheet'!D17</f>
        <v>27711.54</v>
      </c>
      <c r="F15" s="9" t="n">
        <f aca="false">'Balance Sheet'!E17</f>
        <v>30242.32</v>
      </c>
      <c r="G15" s="9" t="n">
        <f aca="false">'Balance Sheet'!F17</f>
        <v>35855.33</v>
      </c>
      <c r="H15" s="9" t="n">
        <f aca="false">'Balance Sheet'!G17</f>
        <v>47934.75</v>
      </c>
      <c r="I15" s="9" t="n">
        <f aca="false">'Balance Sheet'!H17</f>
        <v>53434.22</v>
      </c>
      <c r="J15" s="9" t="n">
        <f aca="false">'Balance Sheet'!I17</f>
        <v>49470.24</v>
      </c>
      <c r="K15" s="9" t="n">
        <f aca="false">'Balance Sheet'!J17</f>
        <v>51620.73</v>
      </c>
      <c r="L15" s="33" t="n">
        <f aca="false">'Balance Sheet'!K17</f>
        <v>63565.52</v>
      </c>
      <c r="M15" s="33" t="n">
        <f aca="false">'Balance Sheet'!L17</f>
        <v>67817.67189488</v>
      </c>
      <c r="N15" s="33" t="n">
        <f aca="false">'Balance Sheet'!M17</f>
        <v>72354.2672386161</v>
      </c>
      <c r="O15" s="33" t="n">
        <f aca="false">'Balance Sheet'!N17</f>
        <v>77194.3335912761</v>
      </c>
      <c r="P15" s="33" t="n">
        <f aca="false">'Balance Sheet'!O17</f>
        <v>82358.1713425309</v>
      </c>
    </row>
    <row r="16" customFormat="false" ht="15" hidden="false" customHeight="false" outlineLevel="0" collapsed="false">
      <c r="A16" s="31" t="s">
        <v>232</v>
      </c>
      <c r="B16" s="9" t="n">
        <f aca="false">(('Cash Flow'!B15+'Cash Flow'!B17)+'Cash Flow'!B18)</f>
        <v>21945.04</v>
      </c>
      <c r="C16" s="9" t="n">
        <f aca="false">(('Cash Flow'!C15+'Cash Flow'!C17)+'Cash Flow'!C18)</f>
        <v>-258.409999999998</v>
      </c>
      <c r="D16" s="9" t="n">
        <f aca="false">(('Cash Flow'!D15+'Cash Flow'!D17)+'Cash Flow'!D18)</f>
        <v>5300.08</v>
      </c>
      <c r="E16" s="9" t="n">
        <f aca="false">(('Cash Flow'!E15+'Cash Flow'!E17)+'Cash Flow'!E18)</f>
        <v>1880.62</v>
      </c>
      <c r="F16" s="9" t="n">
        <f aca="false">(('Cash Flow'!F15+'Cash Flow'!F17)+'Cash Flow'!F18)</f>
        <v>4597.13</v>
      </c>
      <c r="G16" s="9" t="n">
        <f aca="false">(('Cash Flow'!G15+'Cash Flow'!G17)+'Cash Flow'!G18)</f>
        <v>11023.24</v>
      </c>
      <c r="H16" s="9" t="n">
        <f aca="false">(('Cash Flow'!H15+'Cash Flow'!H17)+'Cash Flow'!H18)</f>
        <v>4419.39</v>
      </c>
      <c r="I16" s="9" t="n">
        <f aca="false">(('Cash Flow'!I15+'Cash Flow'!I17)+'Cash Flow'!I18)</f>
        <v>-5260.07</v>
      </c>
      <c r="J16" s="9" t="n">
        <f aca="false">(('Cash Flow'!J15+'Cash Flow'!J17)+'Cash Flow'!J18)</f>
        <v>638.390000000005</v>
      </c>
      <c r="K16" s="9" t="n">
        <f aca="false">(('Cash Flow'!K15+'Cash Flow'!K17)+'Cash Flow'!K18)</f>
        <v>10216.83</v>
      </c>
      <c r="L16" s="33" t="n">
        <f aca="false">(('Cash Flow'!L15+'Cash Flow'!L17)+'Cash Flow'!L18)</f>
        <v>2282.44547142057</v>
      </c>
      <c r="M16" s="33" t="n">
        <f aca="false">(('Cash Flow'!M15+'Cash Flow'!M17)+'Cash Flow'!M18)</f>
        <v>2233.53506452281</v>
      </c>
      <c r="N16" s="33" t="n">
        <f aca="false">(('Cash Flow'!N15+'Cash Flow'!N17)+'Cash Flow'!N18)</f>
        <v>2106.0010347718</v>
      </c>
      <c r="O16" s="33" t="n">
        <f aca="false">(('Cash Flow'!O15+'Cash Flow'!O17)+'Cash Flow'!O18)</f>
        <v>1923.84344023086</v>
      </c>
      <c r="P16" s="33" t="n">
        <f aca="false">(('Cash Flow'!P15+'Cash Flow'!P17)+'Cash Flow'!P18)</f>
        <v>1826.90613133737</v>
      </c>
    </row>
    <row r="17" customFormat="false" ht="15" hidden="false" customHeight="false" outlineLevel="0" collapsed="false">
      <c r="A17" s="31" t="s">
        <v>233</v>
      </c>
      <c r="B17" s="9" t="n">
        <f aca="false">(((0+'Cash Flow'!B9)+'Cash Flow'!B13)+B16)</f>
        <v>10306.81</v>
      </c>
      <c r="C17" s="9" t="n">
        <f aca="false">((('Balance Sheet'!B6+'Cash Flow'!C9)+'Cash Flow'!C13)+C16)</f>
        <v>2850.01</v>
      </c>
      <c r="D17" s="9" t="n">
        <f aca="false">((('Balance Sheet'!C6+'Cash Flow'!D9)+'Cash Flow'!D13)+D16)</f>
        <v>6446.73</v>
      </c>
      <c r="E17" s="9" t="n">
        <f aca="false">((('Balance Sheet'!D6+'Cash Flow'!E9)+'Cash Flow'!E13)+E16)</f>
        <v>9342.19</v>
      </c>
      <c r="F17" s="9" t="n">
        <f aca="false">((('Balance Sheet'!E6+'Cash Flow'!F9)+'Cash Flow'!F13)+F16)</f>
        <v>3694.43</v>
      </c>
      <c r="G17" s="9" t="n">
        <f aca="false">((('Balance Sheet'!F6+'Cash Flow'!G9)+'Cash Flow'!G13)+G16)</f>
        <v>3117.3</v>
      </c>
      <c r="H17" s="9" t="n">
        <f aca="false">((('Balance Sheet'!G6+'Cash Flow'!H9)+'Cash Flow'!H13)+H16)</f>
        <v>4995.38</v>
      </c>
      <c r="I17" s="9" t="n">
        <f aca="false">((('Balance Sheet'!H6+'Cash Flow'!I9)+'Cash Flow'!I13)+I16)</f>
        <v>7057.58</v>
      </c>
      <c r="J17" s="9" t="n">
        <f aca="false">((('Balance Sheet'!I6+'Cash Flow'!J9)+'Cash Flow'!J13)+J16)</f>
        <v>6695.56000000001</v>
      </c>
      <c r="K17" s="9" t="n">
        <f aca="false">((('Balance Sheet'!J6+'Cash Flow'!K9)+'Cash Flow'!K13)+K16)</f>
        <v>-14128.15</v>
      </c>
      <c r="L17" s="33" t="n">
        <f aca="false">((('Balance Sheet'!K6+'Cash Flow'!L9)+'Cash Flow'!L13)+L16)</f>
        <v>10550.4783685162</v>
      </c>
      <c r="M17" s="33" t="n">
        <f aca="false">((('Balance Sheet'!L6+'Cash Flow'!M9)+'Cash Flow'!M13)+M16)</f>
        <v>18171.5525715915</v>
      </c>
      <c r="N17" s="33" t="n">
        <f aca="false">((('Balance Sheet'!M6+'Cash Flow'!N9)+'Cash Flow'!N13)+N16)</f>
        <v>26727.4787849327</v>
      </c>
      <c r="O17" s="33" t="n">
        <f aca="false">((('Balance Sheet'!N6+'Cash Flow'!O9)+'Cash Flow'!O13)+O16)</f>
        <v>36651.5365914683</v>
      </c>
      <c r="P17" s="33" t="n">
        <f aca="false">((('Balance Sheet'!O6+'Cash Flow'!P9)+'Cash Flow'!P13)+P16)</f>
        <v>49620.6086989759</v>
      </c>
    </row>
    <row r="18" customFormat="false" ht="15" hidden="false" customHeight="false" outlineLevel="0" collapsed="false">
      <c r="A18" s="31" t="s">
        <v>234</v>
      </c>
      <c r="B18" s="9" t="n">
        <f aca="false">MAX((Drivers!B29-B17),0)</f>
        <v>0</v>
      </c>
      <c r="C18" s="9" t="n">
        <f aca="false">MAX((Drivers!C29-C17),0)</f>
        <v>0</v>
      </c>
      <c r="D18" s="9" t="n">
        <f aca="false">MAX((Drivers!D29-D17),0)</f>
        <v>0</v>
      </c>
      <c r="E18" s="9" t="n">
        <f aca="false">MAX((Drivers!E29-E17),0)</f>
        <v>0</v>
      </c>
      <c r="F18" s="9" t="n">
        <f aca="false">MAX((Drivers!F29-F17),0)</f>
        <v>0</v>
      </c>
      <c r="G18" s="9" t="n">
        <f aca="false">MAX((Drivers!G29-G17),0)</f>
        <v>0</v>
      </c>
      <c r="H18" s="9" t="n">
        <f aca="false">MAX((Drivers!H29-H17),0)</f>
        <v>0</v>
      </c>
      <c r="I18" s="9" t="n">
        <f aca="false">MAX((Drivers!I29-I17),0)</f>
        <v>0</v>
      </c>
      <c r="J18" s="9" t="n">
        <f aca="false">MAX((Drivers!J29-J17),0)</f>
        <v>0</v>
      </c>
      <c r="K18" s="9" t="n">
        <f aca="false">MAX((Drivers!K29-K17),0)</f>
        <v>14128.15</v>
      </c>
      <c r="L18" s="33" t="n">
        <f aca="false">MAX((Drivers!L29-L17),0)</f>
        <v>0</v>
      </c>
      <c r="M18" s="33" t="n">
        <f aca="false">MAX((Drivers!M29-M17),0)</f>
        <v>0</v>
      </c>
      <c r="N18" s="33" t="n">
        <f aca="false">MAX((Drivers!N29-N17),0)</f>
        <v>0</v>
      </c>
      <c r="O18" s="33" t="n">
        <f aca="false">MAX((Drivers!O29-O17),0)</f>
        <v>0</v>
      </c>
      <c r="P18" s="33" t="n">
        <f aca="false">MAX((Drivers!P29-P17),0)</f>
        <v>0</v>
      </c>
    </row>
    <row r="19" customFormat="false" ht="15" hidden="false" customHeight="false" outlineLevel="0" collapsed="false">
      <c r="A19" s="31" t="s">
        <v>235</v>
      </c>
      <c r="B19" s="9" t="n">
        <f aca="false">MIN(0,MAX((B17-Drivers!B29),0))</f>
        <v>0</v>
      </c>
      <c r="C19" s="9" t="n">
        <f aca="false">MIN('Balance Sheet'!B18,MAX((C17-Drivers!C29),0))</f>
        <v>0</v>
      </c>
      <c r="D19" s="9" t="n">
        <f aca="false">MIN('Balance Sheet'!C18,MAX((D17-Drivers!D29),0))</f>
        <v>0</v>
      </c>
      <c r="E19" s="9" t="n">
        <f aca="false">MIN('Balance Sheet'!D18,MAX((E17-Drivers!E29),0))</f>
        <v>0</v>
      </c>
      <c r="F19" s="9" t="n">
        <f aca="false">MIN('Balance Sheet'!E18,MAX((F17-Drivers!F29),0))</f>
        <v>0</v>
      </c>
      <c r="G19" s="9" t="n">
        <f aca="false">MIN('Balance Sheet'!F18,MAX((G17-Drivers!G29),0))</f>
        <v>0</v>
      </c>
      <c r="H19" s="9" t="n">
        <f aca="false">MIN('Balance Sheet'!G18,MAX((H17-Drivers!H29),0))</f>
        <v>0</v>
      </c>
      <c r="I19" s="9" t="n">
        <f aca="false">MIN('Balance Sheet'!H18,MAX((I17-Drivers!I29),0))</f>
        <v>0</v>
      </c>
      <c r="J19" s="9" t="n">
        <f aca="false">MIN('Balance Sheet'!I18,MAX((J17-Drivers!J29),0))</f>
        <v>0</v>
      </c>
      <c r="K19" s="9" t="n">
        <f aca="false">MIN('Balance Sheet'!J18,MAX((K17-Drivers!K29),0))</f>
        <v>0</v>
      </c>
      <c r="L19" s="33" t="n">
        <f aca="false">MIN('Balance Sheet'!K18,MAX((L17-Drivers!L29),0))</f>
        <v>0</v>
      </c>
      <c r="M19" s="33" t="n">
        <f aca="false">MIN('Balance Sheet'!L18,MAX((M17-Drivers!M29),0))</f>
        <v>0</v>
      </c>
      <c r="N19" s="33" t="n">
        <f aca="false">MIN('Balance Sheet'!M18,MAX((N17-Drivers!N29),0))</f>
        <v>0</v>
      </c>
      <c r="O19" s="33" t="n">
        <f aca="false">MIN('Balance Sheet'!N18,MAX((O17-Drivers!O29),0))</f>
        <v>0</v>
      </c>
      <c r="P19" s="33" t="n">
        <f aca="false">MIN('Balance Sheet'!O18,MAX((P17-Drivers!P29),0))</f>
        <v>0</v>
      </c>
    </row>
    <row r="20" customFormat="false" ht="15" hidden="false" customHeight="false" outlineLevel="0" collapsed="false">
      <c r="A20" s="31" t="s">
        <v>236</v>
      </c>
      <c r="B20" s="9" t="n">
        <f aca="false">AVERAGE(0,'Balance Sheet'!B19)</f>
        <v>11107.13</v>
      </c>
      <c r="C20" s="9" t="n">
        <f aca="false">AVERAGE('Balance Sheet'!B19,'Balance Sheet'!C19)</f>
        <v>22292.15</v>
      </c>
      <c r="D20" s="9" t="n">
        <f aca="false">AVERAGE('Balance Sheet'!C19,'Balance Sheet'!D19)</f>
        <v>25040.79</v>
      </c>
      <c r="E20" s="9" t="n">
        <f aca="false">AVERAGE('Balance Sheet'!D19,'Balance Sheet'!E19)</f>
        <v>28976.93</v>
      </c>
      <c r="F20" s="9" t="n">
        <f aca="false">AVERAGE('Balance Sheet'!E19,'Balance Sheet'!F19)</f>
        <v>33048.825</v>
      </c>
      <c r="G20" s="9" t="n">
        <f aca="false">AVERAGE('Balance Sheet'!F19,'Balance Sheet'!G19)</f>
        <v>41895.04</v>
      </c>
      <c r="H20" s="9" t="n">
        <f aca="false">AVERAGE('Balance Sheet'!G19,'Balance Sheet'!H19)</f>
        <v>50684.485</v>
      </c>
      <c r="I20" s="9" t="n">
        <f aca="false">AVERAGE('Balance Sheet'!H19,'Balance Sheet'!I19)</f>
        <v>51452.23</v>
      </c>
      <c r="J20" s="9" t="n">
        <f aca="false">AVERAGE('Balance Sheet'!I19,'Balance Sheet'!J19)</f>
        <v>50545.485</v>
      </c>
      <c r="K20" s="9" t="n">
        <f aca="false">AVERAGE('Balance Sheet'!J19,'Balance Sheet'!K19)</f>
        <v>57593.125</v>
      </c>
      <c r="L20" s="33" t="n">
        <f aca="false">AVERAGE('Balance Sheet'!K19,'Balance Sheet'!L19)</f>
        <v>65691.59594744</v>
      </c>
      <c r="M20" s="33" t="n">
        <f aca="false">AVERAGE('Balance Sheet'!L19,'Balance Sheet'!M19)</f>
        <v>70085.969566748</v>
      </c>
      <c r="N20" s="33" t="n">
        <f aca="false">AVERAGE('Balance Sheet'!M19,'Balance Sheet'!N19)</f>
        <v>74774.3004149461</v>
      </c>
      <c r="O20" s="33" t="n">
        <f aca="false">AVERAGE('Balance Sheet'!N19,'Balance Sheet'!O19)</f>
        <v>79776.2524669035</v>
      </c>
      <c r="P20" s="33" t="n">
        <f aca="false">AVERAGE('Balance Sheet'!O19,'Balance Sheet'!P19)</f>
        <v>85112.8050994245</v>
      </c>
    </row>
    <row r="21" customFormat="false" ht="15" hidden="false" customHeight="false" outlineLevel="0" collapsed="false">
      <c r="A21" s="27" t="s">
        <v>237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customFormat="false" ht="15" hidden="false" customHeight="false" outlineLevel="0" collapsed="false">
      <c r="A22" s="31" t="s">
        <v>238</v>
      </c>
      <c r="B22" s="55" t="n">
        <v>269.22</v>
      </c>
      <c r="C22" s="55" t="n">
        <v>414.19</v>
      </c>
      <c r="D22" s="55" t="n">
        <v>41.42</v>
      </c>
      <c r="E22" s="55" t="n">
        <v>650.16</v>
      </c>
      <c r="F22" s="55" t="n">
        <v>1015.88</v>
      </c>
      <c r="G22" s="55" t="n">
        <v>1056.18</v>
      </c>
      <c r="H22" s="55" t="n">
        <v>1080.08</v>
      </c>
      <c r="I22" s="55" t="n">
        <v>1296.09</v>
      </c>
      <c r="J22" s="55" t="n">
        <v>1512.1</v>
      </c>
      <c r="K22" s="55" t="n">
        <v>1727.96</v>
      </c>
      <c r="L22" s="33" t="n">
        <f aca="false">('Income Statement'!L18*Drivers!L28)</f>
        <v>1969.70642345943</v>
      </c>
      <c r="M22" s="33" t="n">
        <f aca="false">('Income Statement'!M18*Drivers!M28)</f>
        <v>2303.06027921329</v>
      </c>
      <c r="N22" s="33" t="n">
        <f aca="false">('Income Statement'!N18*Drivers!N28)</f>
        <v>2734.06531788818</v>
      </c>
      <c r="O22" s="33" t="n">
        <f aca="false">('Income Statement'!O18*Drivers!O28)</f>
        <v>3239.99431102396</v>
      </c>
      <c r="P22" s="33" t="n">
        <f aca="false">('Income Statement'!P18*Drivers!P28)</f>
        <v>3682.36138244989</v>
      </c>
    </row>
    <row r="23" customFormat="false" ht="15" hidden="false" customHeight="false" outlineLevel="0" collapsed="false">
      <c r="A23" s="31" t="s">
        <v>239</v>
      </c>
      <c r="B23" s="68" t="n">
        <v>207.0952</v>
      </c>
      <c r="C23" s="68" t="n">
        <v>207.0952</v>
      </c>
      <c r="D23" s="68" t="n">
        <v>207.0952</v>
      </c>
      <c r="E23" s="68" t="n">
        <v>203.1752</v>
      </c>
      <c r="F23" s="68" t="n">
        <v>203.1752</v>
      </c>
      <c r="G23" s="68" t="n">
        <v>211.2373</v>
      </c>
      <c r="H23" s="68" t="n">
        <v>216.0139</v>
      </c>
      <c r="I23" s="68" t="n">
        <v>216.0139</v>
      </c>
      <c r="J23" s="68" t="n">
        <v>216.0139</v>
      </c>
      <c r="K23" s="68" t="n">
        <v>230.3959</v>
      </c>
      <c r="L23" s="69" t="n">
        <f aca="false">K23</f>
        <v>230.3959</v>
      </c>
      <c r="M23" s="69" t="n">
        <f aca="false">L23</f>
        <v>230.3959</v>
      </c>
      <c r="N23" s="69" t="n">
        <f aca="false">M23</f>
        <v>230.3959</v>
      </c>
      <c r="O23" s="69" t="n">
        <f aca="false">N23</f>
        <v>230.3959</v>
      </c>
      <c r="P23" s="69" t="n">
        <f aca="false">O23</f>
        <v>230.3959</v>
      </c>
    </row>
    <row r="24" customFormat="false" ht="15" hidden="false" customHeight="false" outlineLevel="0" collapsed="false">
      <c r="A24" s="6" t="s">
        <v>240</v>
      </c>
      <c r="B24" s="29" t="n">
        <f aca="false">('Balance Sheet'!B15+'Balance Sheet'!B16)</f>
        <v>17525.98</v>
      </c>
      <c r="C24" s="29" t="n">
        <f aca="false">('Balance Sheet'!C15+'Balance Sheet'!C16)</f>
        <v>20902.95</v>
      </c>
      <c r="D24" s="29" t="n">
        <f aca="false">('Balance Sheet'!D15+'Balance Sheet'!D16)</f>
        <v>24372.32</v>
      </c>
      <c r="E24" s="29" t="n">
        <f aca="false">('Balance Sheet'!E15+'Balance Sheet'!E16)</f>
        <v>25456.96</v>
      </c>
      <c r="F24" s="29" t="n">
        <f aca="false">('Balance Sheet'!F15+'Balance Sheet'!F16)</f>
        <v>30441.73</v>
      </c>
      <c r="G24" s="29" t="n">
        <f aca="false">('Balance Sheet'!G15+'Balance Sheet'!G16)</f>
        <v>41821.69</v>
      </c>
      <c r="H24" s="29" t="n">
        <f aca="false">('Balance Sheet'!H15+'Balance Sheet'!H16)</f>
        <v>45389.39</v>
      </c>
      <c r="I24" s="29" t="n">
        <f aca="false">('Balance Sheet'!I15+'Balance Sheet'!I16)</f>
        <v>52778.24</v>
      </c>
      <c r="J24" s="29" t="n">
        <f aca="false">('Balance Sheet'!J15+'Balance Sheet'!J16)</f>
        <v>62268.86</v>
      </c>
      <c r="K24" s="29" t="n">
        <f aca="false">('Balance Sheet'!K15+'Balance Sheet'!K16)</f>
        <v>95958.77</v>
      </c>
      <c r="L24" s="30" t="n">
        <f aca="false">('Balance Sheet'!L15+'Balance Sheet'!L16)</f>
        <v>107697.663166331</v>
      </c>
      <c r="M24" s="30" t="n">
        <f aca="false">('Balance Sheet'!M15+'Balance Sheet'!M16)</f>
        <v>121423.251026182</v>
      </c>
      <c r="N24" s="30" t="n">
        <f aca="false">('Balance Sheet'!N15+'Balance Sheet'!N16)</f>
        <v>137717.507009818</v>
      </c>
      <c r="O24" s="30" t="n">
        <f aca="false">('Balance Sheet'!O15+'Balance Sheet'!O16)</f>
        <v>157026.956694116</v>
      </c>
      <c r="P24" s="30" t="n">
        <f aca="false">('Balance Sheet'!P15+'Balance Sheet'!P16)</f>
        <v>178972.789003726</v>
      </c>
    </row>
    <row r="25" customFormat="false" ht="15" hidden="false" customHeight="false" outlineLevel="0" collapsed="false">
      <c r="A25" s="31" t="s">
        <v>241</v>
      </c>
      <c r="B25" s="70" t="n">
        <f aca="false">IFERROR((B24)/(B23),0)</f>
        <v>84.6276495061209</v>
      </c>
      <c r="C25" s="70" t="n">
        <f aca="false">IFERROR((C24)/(C23),0)</f>
        <v>100.934014887839</v>
      </c>
      <c r="D25" s="70" t="n">
        <f aca="false">IFERROR((D24)/(D23),0)</f>
        <v>117.686551885317</v>
      </c>
      <c r="E25" s="70" t="n">
        <f aca="false">IFERROR((E24)/(E23),0)</f>
        <v>125.295606944155</v>
      </c>
      <c r="F25" s="70" t="n">
        <f aca="false">IFERROR((F24)/(F23),0)</f>
        <v>149.829949718273</v>
      </c>
      <c r="G25" s="70" t="n">
        <f aca="false">IFERROR((G24)/(G23),0)</f>
        <v>197.984399535499</v>
      </c>
      <c r="H25" s="70" t="n">
        <f aca="false">IFERROR((H24)/(H23),0)</f>
        <v>210.122543040054</v>
      </c>
      <c r="I25" s="70" t="n">
        <f aca="false">IFERROR((I24)/(I23),0)</f>
        <v>244.327980745683</v>
      </c>
      <c r="J25" s="70" t="n">
        <f aca="false">IFERROR((J24)/(J23),0)</f>
        <v>288.26320898794</v>
      </c>
      <c r="K25" s="70" t="n">
        <f aca="false">IFERROR((K24)/(K23),0)</f>
        <v>416.495128602549</v>
      </c>
      <c r="L25" s="69" t="n">
        <f aca="false">IFERROR((L24)/(L23),0)</f>
        <v>467.44609242756</v>
      </c>
      <c r="M25" s="69" t="n">
        <f aca="false">IFERROR((M24)/(M23),0)</f>
        <v>527.020016528861</v>
      </c>
      <c r="N25" s="69" t="n">
        <f aca="false">IFERROR((N24)/(N23),0)</f>
        <v>597.742872203097</v>
      </c>
      <c r="O25" s="69" t="n">
        <f aca="false">IFERROR((O24)/(O23),0)</f>
        <v>681.552738977197</v>
      </c>
      <c r="P25" s="69" t="n">
        <f aca="false">IFERROR((P24)/(P23),0)</f>
        <v>776.805442300519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3"/>
      <c r="B4" s="4" t="s">
        <v>3</v>
      </c>
      <c r="C4" s="4" t="s">
        <v>244</v>
      </c>
    </row>
    <row r="5" customFormat="false" ht="15" hidden="false" customHeight="false" outlineLevel="0" collapsed="false">
      <c r="A5" s="40" t="s">
        <v>245</v>
      </c>
    </row>
    <row r="6" customFormat="false" ht="15" hidden="false" customHeight="false" outlineLevel="0" collapsed="false">
      <c r="A6" s="8" t="s">
        <v>246</v>
      </c>
      <c r="B6" s="41" t="n">
        <v>0.0678</v>
      </c>
      <c r="C6" s="71" t="s">
        <v>247</v>
      </c>
    </row>
    <row r="7" customFormat="false" ht="15" hidden="false" customHeight="false" outlineLevel="0" collapsed="false">
      <c r="A7" s="8" t="s">
        <v>248</v>
      </c>
      <c r="B7" s="41" t="n">
        <v>0.055</v>
      </c>
      <c r="C7" s="71" t="s">
        <v>249</v>
      </c>
    </row>
    <row r="8" customFormat="false" ht="15" hidden="false" customHeight="false" outlineLevel="0" collapsed="false">
      <c r="A8" s="8" t="s">
        <v>250</v>
      </c>
      <c r="B8" s="72" t="n">
        <v>1.3</v>
      </c>
      <c r="C8" s="71" t="s">
        <v>249</v>
      </c>
    </row>
    <row r="9" customFormat="false" ht="15" hidden="false" customHeight="false" outlineLevel="0" collapsed="false">
      <c r="A9" s="8" t="s">
        <v>251</v>
      </c>
      <c r="B9" s="73" t="n">
        <f aca="false">0.67*B8+0.33</f>
        <v>1.201</v>
      </c>
    </row>
    <row r="10" customFormat="false" ht="15" hidden="false" customHeight="false" outlineLevel="0" collapsed="false">
      <c r="A10" s="6" t="s">
        <v>252</v>
      </c>
      <c r="B10" s="74" t="n">
        <f aca="false">B6+B9*B7</f>
        <v>0.133855</v>
      </c>
    </row>
    <row r="12" customFormat="false" ht="15" hidden="false" customHeight="false" outlineLevel="0" collapsed="false">
      <c r="A12" s="40" t="s">
        <v>253</v>
      </c>
    </row>
    <row r="13" customFormat="false" ht="15" hidden="false" customHeight="false" outlineLevel="0" collapsed="false">
      <c r="A13" s="8" t="s">
        <v>254</v>
      </c>
      <c r="B13" s="41" t="n">
        <v>0.08</v>
      </c>
      <c r="C13" s="71" t="s">
        <v>249</v>
      </c>
    </row>
    <row r="14" customFormat="false" ht="15" hidden="false" customHeight="false" outlineLevel="0" collapsed="false">
      <c r="A14" s="8" t="s">
        <v>255</v>
      </c>
      <c r="B14" s="19" t="n">
        <f aca="false">Scenarios!B39</f>
        <v>0.185</v>
      </c>
      <c r="C14" s="71" t="s">
        <v>256</v>
      </c>
    </row>
    <row r="15" customFormat="false" ht="15" hidden="false" customHeight="false" outlineLevel="0" collapsed="false">
      <c r="A15" s="8" t="s">
        <v>257</v>
      </c>
      <c r="B15" s="15" t="n">
        <f aca="false">B13*(1-B14)</f>
        <v>0.0652</v>
      </c>
    </row>
    <row r="16" customFormat="false" ht="15" hidden="false" customHeight="false" outlineLevel="0" collapsed="false">
      <c r="A16" s="8" t="s">
        <v>258</v>
      </c>
      <c r="B16" s="41" t="n">
        <v>0.12</v>
      </c>
      <c r="C16" s="71" t="s">
        <v>249</v>
      </c>
    </row>
    <row r="18" customFormat="false" ht="15" hidden="false" customHeight="false" outlineLevel="0" collapsed="false">
      <c r="A18" s="6" t="s">
        <v>259</v>
      </c>
      <c r="B18" s="75" t="n">
        <f aca="false">B10*(1-B16)+B15*B16</f>
        <v>0.1256164</v>
      </c>
    </row>
    <row r="19" customFormat="false" ht="15" hidden="false" customHeight="false" outlineLevel="0" collapsed="false">
      <c r="A19" s="8" t="s">
        <v>260</v>
      </c>
      <c r="B19" s="19" t="n">
        <f aca="false">Scenarios!$B$40</f>
        <v>0.05</v>
      </c>
    </row>
    <row r="20" customFormat="false" ht="15" hidden="false" customHeight="false" outlineLevel="0" collapsed="false">
      <c r="A20" s="8" t="s">
        <v>261</v>
      </c>
      <c r="B20" s="76" t="str">
        <f aca="false">IF(B19&lt;WACC!$B$18,"OK","FAIL")</f>
        <v>OK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3" t="s">
        <v>126</v>
      </c>
      <c r="B4" s="4" t="s">
        <v>6</v>
      </c>
      <c r="C4" s="4" t="s">
        <v>7</v>
      </c>
      <c r="D4" s="4" t="s">
        <v>56</v>
      </c>
      <c r="E4" s="4" t="s">
        <v>105</v>
      </c>
      <c r="F4" s="4" t="s">
        <v>58</v>
      </c>
    </row>
    <row r="5" customFormat="false" ht="15" hidden="false" customHeight="false" outlineLevel="0" collapsed="false">
      <c r="A5" s="40" t="s">
        <v>112</v>
      </c>
    </row>
    <row r="6" customFormat="false" ht="15" hidden="false" customHeight="false" outlineLevel="0" collapsed="false">
      <c r="A6" s="8" t="s">
        <v>9</v>
      </c>
      <c r="B6" s="9" t="n">
        <f aca="false">'Income Statement'!L6</f>
        <v>47021.351203</v>
      </c>
      <c r="C6" s="9" t="n">
        <f aca="false">'Income Statement'!M6</f>
        <v>53143.5311296306</v>
      </c>
      <c r="D6" s="9" t="n">
        <f aca="false">'Income Statement'!N6</f>
        <v>60833.4000840882</v>
      </c>
      <c r="E6" s="9" t="n">
        <f aca="false">'Income Statement'!O6</f>
        <v>69842.8266365416</v>
      </c>
      <c r="F6" s="9" t="n">
        <f aca="false">'Income Statement'!P6</f>
        <v>78286.8243768995</v>
      </c>
    </row>
    <row r="7" customFormat="false" ht="15" hidden="false" customHeight="false" outlineLevel="0" collapsed="false">
      <c r="A7" s="8" t="s">
        <v>11</v>
      </c>
      <c r="B7" s="9" t="n">
        <f aca="false">'Income Statement'!L10</f>
        <v>27507.490453755</v>
      </c>
      <c r="C7" s="9" t="n">
        <f aca="false">'Income Statement'!M10</f>
        <v>30823.2480551857</v>
      </c>
      <c r="D7" s="9" t="n">
        <f aca="false">'Income Statement'!N10</f>
        <v>34979.2050483507</v>
      </c>
      <c r="E7" s="9" t="n">
        <f aca="false">'Income Statement'!O10</f>
        <v>39810.4111828287</v>
      </c>
      <c r="F7" s="9" t="n">
        <f aca="false">'Income Statement'!P10</f>
        <v>44232.0557729482</v>
      </c>
    </row>
    <row r="8" customFormat="false" ht="15" hidden="false" customHeight="false" outlineLevel="0" collapsed="false">
      <c r="A8" s="8" t="s">
        <v>109</v>
      </c>
      <c r="B8" s="9" t="n">
        <f aca="false">'Income Statement'!L12</f>
        <v>19885.863923755</v>
      </c>
      <c r="C8" s="9" t="n">
        <f aca="false">'Income Statement'!M12</f>
        <v>22798.9831084688</v>
      </c>
      <c r="D8" s="9" t="n">
        <f aca="false">'Income Statement'!N12</f>
        <v>26496.5052566821</v>
      </c>
      <c r="E8" s="9" t="n">
        <f aca="false">'Income Statement'!O12</f>
        <v>30797.4793601757</v>
      </c>
      <c r="F8" s="9" t="n">
        <f aca="false">'Income Statement'!P12</f>
        <v>34608.7651418723</v>
      </c>
    </row>
    <row r="9" customFormat="false" ht="15" hidden="false" customHeight="false" outlineLevel="0" collapsed="false">
      <c r="A9" s="8" t="s">
        <v>264</v>
      </c>
      <c r="B9" s="19" t="n">
        <f aca="false">Drivers!L22</f>
        <v>0.185</v>
      </c>
      <c r="C9" s="19" t="n">
        <f aca="false">Drivers!M22</f>
        <v>0.185</v>
      </c>
      <c r="D9" s="19" t="n">
        <f aca="false">Drivers!N22</f>
        <v>0.185</v>
      </c>
      <c r="E9" s="19" t="n">
        <f aca="false">Drivers!O22</f>
        <v>0.185</v>
      </c>
      <c r="F9" s="19" t="n">
        <f aca="false">Drivers!P22</f>
        <v>0.185</v>
      </c>
    </row>
    <row r="10" customFormat="false" ht="15" hidden="false" customHeight="false" outlineLevel="0" collapsed="false">
      <c r="A10" s="8" t="s">
        <v>265</v>
      </c>
      <c r="B10" s="52" t="n">
        <f aca="false">B8*(1-B9)</f>
        <v>16206.9790978603</v>
      </c>
      <c r="C10" s="52" t="n">
        <f aca="false">C8*(1-C9)</f>
        <v>18581.1712334021</v>
      </c>
      <c r="D10" s="52" t="n">
        <f aca="false">D8*(1-D9)</f>
        <v>21594.6517841959</v>
      </c>
      <c r="E10" s="52" t="n">
        <f aca="false">E8*(1-E9)</f>
        <v>25099.9456785432</v>
      </c>
      <c r="F10" s="52" t="n">
        <f aca="false">F8*(1-F9)</f>
        <v>28206.1435906259</v>
      </c>
    </row>
    <row r="11" customFormat="false" ht="15" hidden="false" customHeight="false" outlineLevel="0" collapsed="false">
      <c r="A11" s="8" t="s">
        <v>266</v>
      </c>
      <c r="B11" s="9" t="n">
        <f aca="false">'Income Statement'!L11</f>
        <v>7621.62653</v>
      </c>
      <c r="C11" s="9" t="n">
        <f aca="false">'Income Statement'!M11</f>
        <v>8024.2649467169</v>
      </c>
      <c r="D11" s="9" t="n">
        <f aca="false">'Income Statement'!N11</f>
        <v>8482.69979166854</v>
      </c>
      <c r="E11" s="9" t="n">
        <f aca="false">'Income Statement'!O11</f>
        <v>9012.93182265299</v>
      </c>
      <c r="F11" s="9" t="n">
        <f aca="false">'Income Statement'!P11</f>
        <v>9623.29063107591</v>
      </c>
    </row>
    <row r="12" customFormat="false" ht="15" hidden="false" customHeight="false" outlineLevel="0" collapsed="false">
      <c r="A12" s="8" t="s">
        <v>267</v>
      </c>
      <c r="B12" s="9" t="n">
        <f aca="false">-Schedules!L7</f>
        <v>-14576.61887293</v>
      </c>
      <c r="C12" s="9" t="n">
        <f aca="false">-Schedules!M7</f>
        <v>-15943.0593388892</v>
      </c>
      <c r="D12" s="9" t="n">
        <f aca="false">-Schedules!N7</f>
        <v>-17641.6860243856</v>
      </c>
      <c r="E12" s="9" t="n">
        <f aca="false">-Schedules!O7</f>
        <v>-19555.9914582317</v>
      </c>
      <c r="F12" s="9" t="n">
        <f aca="false">-Schedules!P7</f>
        <v>-20354.5743379939</v>
      </c>
    </row>
    <row r="13" customFormat="false" ht="15" hidden="false" customHeight="false" outlineLevel="0" collapsed="false">
      <c r="A13" s="8" t="s">
        <v>268</v>
      </c>
      <c r="B13" s="9" t="n">
        <f aca="false">-Schedules!L12</f>
        <v>-2085.83221304273</v>
      </c>
      <c r="C13" s="9" t="n">
        <f aca="false">-Schedules!M12</f>
        <v>-434.400870138172</v>
      </c>
      <c r="D13" s="9" t="n">
        <f aca="false">-Schedules!N12</f>
        <v>-545.636653136276</v>
      </c>
      <c r="E13" s="9" t="n">
        <f aca="false">-Schedules!O12</f>
        <v>-639.266205948567</v>
      </c>
      <c r="F13" s="9" t="n">
        <f aca="false">-Schedules!P12</f>
        <v>-599.146057419937</v>
      </c>
    </row>
    <row r="14" customFormat="false" ht="15" hidden="false" customHeight="false" outlineLevel="0" collapsed="false">
      <c r="A14" s="6" t="s">
        <v>112</v>
      </c>
      <c r="B14" s="63" t="n">
        <f aca="false">B10+B11+B12+B13</f>
        <v>7166.15454188759</v>
      </c>
      <c r="C14" s="63" t="n">
        <f aca="false">C10+C11+C12+C13</f>
        <v>10227.9759710917</v>
      </c>
      <c r="D14" s="63" t="n">
        <f aca="false">D10+D11+D12+D13</f>
        <v>11890.0288983426</v>
      </c>
      <c r="E14" s="63" t="n">
        <f aca="false">E10+E11+E12+E13</f>
        <v>13917.619837016</v>
      </c>
      <c r="F14" s="63" t="n">
        <f aca="false">F10+F11+F12+F13</f>
        <v>16875.713826288</v>
      </c>
    </row>
    <row r="16" customFormat="false" ht="15" hidden="false" customHeight="false" outlineLevel="0" collapsed="false">
      <c r="A16" s="40" t="s">
        <v>269</v>
      </c>
    </row>
    <row r="17" customFormat="false" ht="15" hidden="false" customHeight="false" outlineLevel="0" collapsed="false">
      <c r="A17" s="8" t="s">
        <v>270</v>
      </c>
      <c r="B17" s="77" t="n">
        <v>46112</v>
      </c>
      <c r="C17" s="71" t="s">
        <v>271</v>
      </c>
    </row>
    <row r="18" customFormat="false" ht="15" hidden="false" customHeight="false" outlineLevel="0" collapsed="false">
      <c r="A18" s="8" t="s">
        <v>272</v>
      </c>
      <c r="B18" s="77" t="n">
        <v>46477</v>
      </c>
    </row>
    <row r="19" customFormat="false" ht="15" hidden="false" customHeight="false" outlineLevel="0" collapsed="false">
      <c r="A19" s="8" t="s">
        <v>273</v>
      </c>
      <c r="B19" s="77" t="n">
        <v>46241</v>
      </c>
    </row>
    <row r="20" customFormat="false" ht="15" hidden="false" customHeight="false" outlineLevel="0" collapsed="false">
      <c r="A20" s="8" t="s">
        <v>274</v>
      </c>
      <c r="B20" s="78" t="n">
        <f aca="false">MIN(1,MAX(0,(B18-B17)/365.25))</f>
        <v>0.999315537303217</v>
      </c>
    </row>
    <row r="21" customFormat="false" ht="15" hidden="false" customHeight="false" outlineLevel="0" collapsed="false">
      <c r="A21" s="8" t="s">
        <v>275</v>
      </c>
      <c r="B21" s="78" t="n">
        <f aca="false">$B$20</f>
        <v>0.999315537303217</v>
      </c>
      <c r="C21" s="79" t="n">
        <v>1</v>
      </c>
      <c r="D21" s="79" t="n">
        <v>1</v>
      </c>
      <c r="E21" s="79" t="n">
        <v>1</v>
      </c>
      <c r="F21" s="79" t="n">
        <v>1</v>
      </c>
    </row>
    <row r="22" customFormat="false" ht="15" hidden="false" customHeight="false" outlineLevel="0" collapsed="false">
      <c r="A22" s="8" t="s">
        <v>276</v>
      </c>
      <c r="B22" s="73" t="n">
        <f aca="false">$B$20*0.5</f>
        <v>0.499657768651609</v>
      </c>
      <c r="C22" s="73" t="n">
        <f aca="false">$B$20+0.5</f>
        <v>1.49931553730322</v>
      </c>
      <c r="D22" s="73" t="n">
        <f aca="false">C22+1</f>
        <v>2.49931553730322</v>
      </c>
      <c r="E22" s="73" t="n">
        <f aca="false">D22+1</f>
        <v>3.49931553730322</v>
      </c>
      <c r="F22" s="73" t="n">
        <f aca="false">E22+1</f>
        <v>4.49931553730322</v>
      </c>
    </row>
    <row r="23" customFormat="false" ht="15" hidden="false" customHeight="false" outlineLevel="0" collapsed="false">
      <c r="A23" s="8" t="s">
        <v>277</v>
      </c>
      <c r="B23" s="78" t="n">
        <f aca="false">1/(1+WACC!$B$18)^B22</f>
        <v>0.942589030689347</v>
      </c>
      <c r="C23" s="78" t="n">
        <f aca="false">1/(1+WACC!$B$18)^C22</f>
        <v>0.837432008832314</v>
      </c>
      <c r="D23" s="78" t="n">
        <f aca="false">1/(1+WACC!$B$18)^D22</f>
        <v>0.743976374928718</v>
      </c>
      <c r="E23" s="78" t="n">
        <f aca="false">1/(1+WACC!$B$18)^E22</f>
        <v>0.660950191316259</v>
      </c>
      <c r="F23" s="78" t="n">
        <f aca="false">1/(1+WACC!$B$18)^F22</f>
        <v>0.587189553489322</v>
      </c>
    </row>
    <row r="24" customFormat="false" ht="15" hidden="false" customHeight="false" outlineLevel="0" collapsed="false">
      <c r="A24" s="8" t="s">
        <v>278</v>
      </c>
      <c r="B24" s="52" t="n">
        <f aca="false">B14*B21*B23</f>
        <v>6750.11529676626</v>
      </c>
      <c r="C24" s="52" t="n">
        <f aca="false">C14*C21*C23</f>
        <v>8565.23446375993</v>
      </c>
      <c r="D24" s="52" t="n">
        <f aca="false">D14*D21*D23</f>
        <v>8845.90059758666</v>
      </c>
      <c r="E24" s="52" t="n">
        <f aca="false">E14*E21*E23</f>
        <v>9198.85349394267</v>
      </c>
      <c r="F24" s="52" t="n">
        <f aca="false">F14*F21*F23</f>
        <v>9909.24286647165</v>
      </c>
    </row>
    <row r="26" customFormat="false" ht="15" hidden="false" customHeight="false" outlineLevel="0" collapsed="false">
      <c r="A26" s="40" t="s">
        <v>279</v>
      </c>
    </row>
    <row r="27" customFormat="false" ht="15" hidden="false" customHeight="false" outlineLevel="0" collapsed="false">
      <c r="A27" s="8" t="s">
        <v>22</v>
      </c>
      <c r="B27" s="18" t="n">
        <f aca="false">WACC!$B$18</f>
        <v>0.1256164</v>
      </c>
    </row>
    <row r="28" customFormat="false" ht="15" hidden="false" customHeight="false" outlineLevel="0" collapsed="false">
      <c r="A28" s="8" t="s">
        <v>260</v>
      </c>
      <c r="B28" s="19" t="n">
        <f aca="false">Scenarios!$B$40</f>
        <v>0.05</v>
      </c>
    </row>
    <row r="29" customFormat="false" ht="15" hidden="false" customHeight="false" outlineLevel="0" collapsed="false">
      <c r="A29" s="8" t="s">
        <v>280</v>
      </c>
      <c r="B29" s="41" t="n">
        <v>0.105</v>
      </c>
      <c r="C29" s="71" t="s">
        <v>281</v>
      </c>
    </row>
    <row r="30" customFormat="false" ht="15" hidden="false" customHeight="false" outlineLevel="0" collapsed="false">
      <c r="A30" s="8" t="s">
        <v>282</v>
      </c>
      <c r="B30" s="15" t="n">
        <f aca="false">$B$28/$B$29</f>
        <v>0.476190476190476</v>
      </c>
    </row>
    <row r="31" customFormat="false" ht="15" hidden="false" customHeight="false" outlineLevel="0" collapsed="false">
      <c r="A31" s="8" t="s">
        <v>283</v>
      </c>
      <c r="B31" s="52" t="n">
        <f aca="false">SUM(B24:F24)</f>
        <v>43269.3467185272</v>
      </c>
    </row>
    <row r="32" customFormat="false" ht="15" hidden="false" customHeight="false" outlineLevel="0" collapsed="false">
      <c r="A32" s="8" t="s">
        <v>284</v>
      </c>
      <c r="B32" s="52" t="n">
        <f aca="false">F10*(1+$B$28)*(1-$B$28/$B$29)/($B$27-$B$28)</f>
        <v>205158.920218951</v>
      </c>
    </row>
    <row r="33" customFormat="false" ht="15" hidden="false" customHeight="false" outlineLevel="0" collapsed="false">
      <c r="A33" s="8" t="s">
        <v>285</v>
      </c>
      <c r="B33" s="52" t="n">
        <f aca="false">$B$32/(1+$B$27)^F22</f>
        <v>120467.174757717</v>
      </c>
    </row>
    <row r="34" customFormat="false" ht="15" hidden="false" customHeight="false" outlineLevel="0" collapsed="false">
      <c r="A34" s="6" t="s">
        <v>286</v>
      </c>
      <c r="B34" s="63" t="n">
        <f aca="false">$B$31+$B$33</f>
        <v>163736.521476244</v>
      </c>
    </row>
    <row r="35" customFormat="false" ht="15" hidden="false" customHeight="false" outlineLevel="0" collapsed="false">
      <c r="A35" s="8" t="s">
        <v>25</v>
      </c>
      <c r="B35" s="15" t="n">
        <f aca="false">$B$33/$B$34</f>
        <v>0.735737962866123</v>
      </c>
    </row>
    <row r="36" customFormat="false" ht="15" hidden="false" customHeight="false" outlineLevel="0" collapsed="false">
      <c r="A36" s="8" t="s">
        <v>287</v>
      </c>
      <c r="B36" s="80" t="n">
        <v>42910</v>
      </c>
      <c r="C36" s="71" t="s">
        <v>288</v>
      </c>
    </row>
    <row r="37" customFormat="false" ht="15" hidden="false" customHeight="false" outlineLevel="0" collapsed="false">
      <c r="A37" s="8" t="s">
        <v>289</v>
      </c>
      <c r="B37" s="80" t="n">
        <v>8296.02</v>
      </c>
      <c r="C37" s="71" t="s">
        <v>290</v>
      </c>
    </row>
    <row r="38" customFormat="false" ht="15" hidden="false" customHeight="false" outlineLevel="0" collapsed="false">
      <c r="A38" s="8" t="s">
        <v>291</v>
      </c>
      <c r="B38" s="80" t="n">
        <v>2856.18</v>
      </c>
      <c r="C38" s="71" t="s">
        <v>292</v>
      </c>
    </row>
    <row r="39" customFormat="false" ht="15" hidden="false" customHeight="false" outlineLevel="0" collapsed="false">
      <c r="A39" s="8" t="s">
        <v>293</v>
      </c>
      <c r="B39" s="80" t="n">
        <v>3340.86</v>
      </c>
      <c r="C39" s="71" t="s">
        <v>294</v>
      </c>
    </row>
    <row r="40" customFormat="false" ht="15" hidden="false" customHeight="false" outlineLevel="0" collapsed="false">
      <c r="A40" s="8" t="s">
        <v>295</v>
      </c>
      <c r="B40" s="52" t="n">
        <f aca="false">$B$34-$B$36-$B$37-$B$38+$B$39</f>
        <v>113015.181476244</v>
      </c>
    </row>
    <row r="41" customFormat="false" ht="15" hidden="false" customHeight="false" outlineLevel="0" collapsed="false">
      <c r="A41" s="8" t="s">
        <v>296</v>
      </c>
      <c r="B41" s="19" t="n">
        <f aca="false">WACC!$B$10</f>
        <v>0.133855</v>
      </c>
    </row>
    <row r="42" customFormat="false" ht="15" hidden="false" customHeight="false" outlineLevel="0" collapsed="false">
      <c r="A42" s="8" t="s">
        <v>297</v>
      </c>
      <c r="B42" s="81" t="n">
        <f aca="false">(1+$B$41)^((B19-B17)/365.25)</f>
        <v>1.0453669726383</v>
      </c>
    </row>
    <row r="43" customFormat="false" ht="15" hidden="false" customHeight="false" outlineLevel="0" collapsed="false">
      <c r="A43" s="6" t="s">
        <v>298</v>
      </c>
      <c r="B43" s="63" t="n">
        <f aca="false">$B$40*$B$42</f>
        <v>118142.338121989</v>
      </c>
    </row>
    <row r="44" customFormat="false" ht="15" hidden="false" customHeight="false" outlineLevel="0" collapsed="false">
      <c r="A44" s="8" t="s">
        <v>299</v>
      </c>
      <c r="B44" s="13" t="n">
        <f aca="false">Schedules!K23</f>
        <v>230.3959</v>
      </c>
    </row>
    <row r="45" customFormat="false" ht="15" hidden="false" customHeight="false" outlineLevel="0" collapsed="false">
      <c r="A45" s="6" t="s">
        <v>300</v>
      </c>
      <c r="B45" s="47" t="n">
        <f aca="false">$B$43/$B$44</f>
        <v>512.779689751377</v>
      </c>
    </row>
    <row r="46" customFormat="false" ht="15" hidden="false" customHeight="false" outlineLevel="0" collapsed="false">
      <c r="A46" s="8" t="s">
        <v>12</v>
      </c>
      <c r="B46" s="82" t="n">
        <v>1695</v>
      </c>
      <c r="C46" s="71" t="s">
        <v>301</v>
      </c>
    </row>
    <row r="47" customFormat="false" ht="15" hidden="false" customHeight="false" outlineLevel="0" collapsed="false">
      <c r="A47" s="8" t="s">
        <v>302</v>
      </c>
      <c r="B47" s="15" t="n">
        <f aca="false">$B$45/$B$46-1</f>
        <v>-0.697475109291223</v>
      </c>
    </row>
    <row r="49" customFormat="false" ht="15" hidden="false" customHeight="false" outlineLevel="0" collapsed="false">
      <c r="A49" s="40" t="s">
        <v>303</v>
      </c>
    </row>
    <row r="50" customFormat="false" ht="15" hidden="false" customHeight="false" outlineLevel="0" collapsed="false">
      <c r="A50" s="8" t="s">
        <v>304</v>
      </c>
      <c r="B50" s="83" t="s">
        <v>305</v>
      </c>
      <c r="C50" s="71" t="s">
        <v>306</v>
      </c>
    </row>
    <row r="51" customFormat="false" ht="15" hidden="false" customHeight="false" outlineLevel="0" collapsed="false">
      <c r="A51" s="8" t="s">
        <v>307</v>
      </c>
      <c r="B51" s="38" t="n">
        <v>12</v>
      </c>
    </row>
    <row r="52" customFormat="false" ht="15" hidden="false" customHeight="false" outlineLevel="0" collapsed="false">
      <c r="A52" s="8" t="s">
        <v>308</v>
      </c>
      <c r="B52" s="46" t="n">
        <f aca="false">IF($B$50="Exit multiple",$B$68,$B$45)</f>
        <v>512.779689751377</v>
      </c>
    </row>
    <row r="53" customFormat="false" ht="15" hidden="false" customHeight="false" outlineLevel="0" collapsed="false">
      <c r="A53" s="8" t="s">
        <v>309</v>
      </c>
      <c r="B53" s="13" t="n">
        <f aca="false">IFERROR(Schedules!L22/Schedules!L23,0)</f>
        <v>8.54922515313609</v>
      </c>
      <c r="C53" s="71" t="s">
        <v>310</v>
      </c>
    </row>
    <row r="54" customFormat="false" ht="15" hidden="false" customHeight="false" outlineLevel="0" collapsed="false">
      <c r="A54" s="8" t="s">
        <v>311</v>
      </c>
      <c r="B54" s="46" t="n">
        <f aca="false">$B$52*(1+$B$41)^($B$51/12)-$B$53*$B$51/12</f>
        <v>572.868589969911</v>
      </c>
    </row>
    <row r="55" customFormat="false" ht="15" hidden="false" customHeight="false" outlineLevel="0" collapsed="false">
      <c r="A55" s="8" t="s">
        <v>312</v>
      </c>
      <c r="B55" s="38" t="n">
        <v>5</v>
      </c>
    </row>
    <row r="56" customFormat="false" ht="15" hidden="false" customHeight="false" outlineLevel="0" collapsed="false">
      <c r="A56" s="6" t="s">
        <v>313</v>
      </c>
      <c r="B56" s="47" t="n">
        <f aca="false">ROUND($B$54/$B$55,0)*$B$55</f>
        <v>575</v>
      </c>
    </row>
    <row r="57" customFormat="false" ht="15" hidden="false" customHeight="false" outlineLevel="0" collapsed="false">
      <c r="A57" s="8" t="s">
        <v>14</v>
      </c>
      <c r="B57" s="15" t="n">
        <f aca="false">$B$56/$B$46-1</f>
        <v>-0.660766961651917</v>
      </c>
    </row>
    <row r="58" customFormat="false" ht="15" hidden="false" customHeight="false" outlineLevel="0" collapsed="false">
      <c r="A58" s="8" t="s">
        <v>314</v>
      </c>
      <c r="B58" s="41" t="n">
        <v>0.15</v>
      </c>
      <c r="C58" s="71" t="s">
        <v>315</v>
      </c>
    </row>
    <row r="59" customFormat="false" ht="15" hidden="false" customHeight="false" outlineLevel="0" collapsed="false">
      <c r="A59" s="8" t="s">
        <v>316</v>
      </c>
      <c r="B59" s="41" t="n">
        <v>-0.1</v>
      </c>
      <c r="C59" s="71" t="s">
        <v>315</v>
      </c>
    </row>
    <row r="60" customFormat="false" ht="15" hidden="false" customHeight="false" outlineLevel="0" collapsed="false">
      <c r="A60" s="6" t="s">
        <v>317</v>
      </c>
      <c r="B60" s="39" t="str">
        <f aca="false">IF($B$57&gt;$B$58,"BUY",IF($B$57&lt;$B$59,"SELL","HOLD"))</f>
        <v>SELL</v>
      </c>
    </row>
    <row r="62" customFormat="false" ht="15" hidden="false" customHeight="false" outlineLevel="0" collapsed="false">
      <c r="A62" s="40" t="s">
        <v>318</v>
      </c>
    </row>
    <row r="63" customFormat="false" ht="15" hidden="false" customHeight="false" outlineLevel="0" collapsed="false">
      <c r="A63" s="8" t="s">
        <v>319</v>
      </c>
      <c r="B63" s="52" t="n">
        <f aca="false">F7</f>
        <v>44232.0557729482</v>
      </c>
    </row>
    <row r="64" customFormat="false" ht="15" hidden="false" customHeight="false" outlineLevel="0" collapsed="false">
      <c r="A64" s="8" t="s">
        <v>320</v>
      </c>
      <c r="B64" s="84" t="n">
        <f aca="false">$B$32/$B$63</f>
        <v>4.63824067486421</v>
      </c>
    </row>
    <row r="65" customFormat="false" ht="15" hidden="false" customHeight="false" outlineLevel="0" collapsed="false">
      <c r="A65" s="8" t="s">
        <v>321</v>
      </c>
      <c r="B65" s="85" t="n">
        <v>10</v>
      </c>
    </row>
    <row r="66" customFormat="false" ht="15" hidden="false" customHeight="false" outlineLevel="0" collapsed="false">
      <c r="A66" s="8" t="s">
        <v>322</v>
      </c>
      <c r="B66" s="52" t="n">
        <f aca="false">$B$65*$B$63</f>
        <v>442320.557729482</v>
      </c>
    </row>
    <row r="67" customFormat="false" ht="15" hidden="false" customHeight="false" outlineLevel="0" collapsed="false">
      <c r="A67" s="8" t="s">
        <v>323</v>
      </c>
      <c r="B67" s="52" t="n">
        <f aca="false">$B$66/(1+$B$27)^F22</f>
        <v>259726.010792323</v>
      </c>
    </row>
    <row r="68" customFormat="false" ht="15" hidden="false" customHeight="false" outlineLevel="0" collapsed="false">
      <c r="A68" s="6" t="s">
        <v>324</v>
      </c>
      <c r="B68" s="47" t="n">
        <f aca="false">($B$31+$B$67-$B$36-$B$37-$B$38+$B$39)*$B$42/$B$44</f>
        <v>1144.63376284308</v>
      </c>
    </row>
    <row r="69" customFormat="false" ht="15" hidden="false" customHeight="false" outlineLevel="0" collapsed="false">
      <c r="A69" s="8" t="s">
        <v>325</v>
      </c>
      <c r="B69" s="85" t="n">
        <v>14</v>
      </c>
      <c r="C69" s="71" t="s">
        <v>326</v>
      </c>
    </row>
    <row r="70" customFormat="false" ht="15" hidden="false" customHeight="false" outlineLevel="0" collapsed="false">
      <c r="A70" s="8" t="s">
        <v>327</v>
      </c>
      <c r="B70" s="46" t="n">
        <f aca="false">($B$31+$B$69*$B$63/(1+$B$27)^F22-$B$36-$B$37-$B$38+$B$39)*$B$42/$B$44</f>
        <v>1616.01193166881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328</v>
      </c>
    </row>
    <row r="2" customFormat="false" ht="15" hidden="false" customHeight="false" outlineLevel="0" collapsed="false">
      <c r="A2" s="2" t="s">
        <v>329</v>
      </c>
    </row>
    <row r="4" customFormat="false" ht="15" hidden="false" customHeight="false" outlineLevel="0" collapsed="false">
      <c r="A4" s="6" t="s">
        <v>330</v>
      </c>
      <c r="B4" s="41" t="n">
        <v>0.005</v>
      </c>
    </row>
    <row r="5" customFormat="false" ht="15" hidden="false" customHeight="false" outlineLevel="0" collapsed="false">
      <c r="A5" s="6" t="s">
        <v>331</v>
      </c>
      <c r="B5" s="85" t="n">
        <v>2</v>
      </c>
    </row>
    <row r="7" customFormat="false" ht="15" hidden="false" customHeight="false" outlineLevel="0" collapsed="false">
      <c r="A7" s="40" t="s">
        <v>332</v>
      </c>
    </row>
    <row r="8" customFormat="false" ht="15" hidden="false" customHeight="false" outlineLevel="0" collapsed="false">
      <c r="A8" s="39" t="s">
        <v>333</v>
      </c>
      <c r="B8" s="74" t="n">
        <f aca="false">DCF!$B$28+(-2)*$B$4</f>
        <v>0.04</v>
      </c>
      <c r="C8" s="74" t="n">
        <f aca="false">DCF!$B$28+(-1)*$B$4</f>
        <v>0.045</v>
      </c>
      <c r="D8" s="74" t="n">
        <f aca="false">DCF!$B$28+(0)*$B$4</f>
        <v>0.05</v>
      </c>
      <c r="E8" s="74" t="n">
        <f aca="false">DCF!$B$28+(1)*$B$4</f>
        <v>0.055</v>
      </c>
      <c r="F8" s="74" t="n">
        <f aca="false">DCF!$B$28+(2)*$B$4</f>
        <v>0.06</v>
      </c>
    </row>
    <row r="9" customFormat="false" ht="15" hidden="false" customHeight="false" outlineLevel="0" collapsed="false">
      <c r="A9" s="75" t="n">
        <f aca="false">DCF!$B$27+(-2)*$B$4</f>
        <v>0.1156164</v>
      </c>
      <c r="B9" s="46" t="n">
        <f aca="false">IF(B$8&gt;=$A9,NA(),(SUMPRODUCT(DCF!$B$14:$F$14,DCF!$B$21:$F$21,1/(1+$A9)^DCF!$B$22:$F$22)+DCF!$F$10*(1+B$8)*(1-B$8/DCF!$B$29)/($A9-B$8)/(1+$A9)^DCF!$F$22-DCF!$B$36-DCF!$B$37-DCF!$B$38+DCF!$B$39)*DCF!$B$42/DCF!$B$44)</f>
        <v>636.951049890538</v>
      </c>
      <c r="C9" s="46" t="n">
        <f aca="false">IF(C$8&gt;=$A9,NA(),(SUMPRODUCT(DCF!$B$14:$F$14,DCF!$B$21:$F$21,1/(1+$A9)^DCF!$B$22:$F$22)+DCF!$F$10*(1+C$8)*(1-C$8/DCF!$B$29)/($A9-C$8)/(1+$A9)^DCF!$F$22-DCF!$B$36-DCF!$B$37-DCF!$B$38+DCF!$B$39)*DCF!$B$42/DCF!$B$44)</f>
        <v>632.413747405703</v>
      </c>
      <c r="D9" s="46" t="n">
        <f aca="false">IF(D$8&gt;=$A9,NA(),(SUMPRODUCT(DCF!$B$14:$F$14,DCF!$B$21:$F$21,1/(1+$A9)^DCF!$B$22:$F$22)+DCF!$F$10*(1+D$8)*(1-D$8/DCF!$B$29)/($A9-D$8)/(1+$A9)^DCF!$F$22-DCF!$B$36-DCF!$B$37-DCF!$B$38+DCF!$B$39)*DCF!$B$42/DCF!$B$44)</f>
        <v>626.617252338779</v>
      </c>
      <c r="E9" s="46" t="n">
        <f aca="false">IF(E$8&gt;=$A9,NA(),(SUMPRODUCT(DCF!$B$14:$F$14,DCF!$B$21:$F$21,1/(1+$A9)^DCF!$B$22:$F$22)+DCF!$F$10*(1+E$8)*(1-E$8/DCF!$B$29)/($A9-E$8)/(1+$A9)^DCF!$F$22-DCF!$B$36-DCF!$B$37-DCF!$B$38+DCF!$B$39)*DCF!$B$42/DCF!$B$44)</f>
        <v>619.249967684149</v>
      </c>
      <c r="F9" s="46" t="n">
        <f aca="false">IF(F$8&gt;=$A9,NA(),(SUMPRODUCT(DCF!$B$14:$F$14,DCF!$B$21:$F$21,1/(1+$A9)^DCF!$B$22:$F$22)+DCF!$F$10*(1+F$8)*(1-F$8/DCF!$B$29)/($A9-F$8)/(1+$A9)^DCF!$F$22-DCF!$B$36-DCF!$B$37-DCF!$B$38+DCF!$B$39)*DCF!$B$42/DCF!$B$44)</f>
        <v>609.888244233744</v>
      </c>
    </row>
    <row r="10" customFormat="false" ht="15" hidden="false" customHeight="false" outlineLevel="0" collapsed="false">
      <c r="A10" s="75" t="n">
        <f aca="false">DCF!$B$27+(-1)*$B$4</f>
        <v>0.1206164</v>
      </c>
      <c r="B10" s="46" t="n">
        <f aca="false">IF(B$8&gt;=$A10,NA(),(SUMPRODUCT(DCF!$B$14:$F$14,DCF!$B$21:$F$21,1/(1+$A10)^DCF!$B$22:$F$22)+DCF!$F$10*(1+B$8)*(1-B$8/DCF!$B$29)/($A10-B$8)/(1+$A10)^DCF!$F$22-DCF!$B$36-DCF!$B$37-DCF!$B$38+DCF!$B$39)*DCF!$B$42/DCF!$B$44)</f>
        <v>580.809643434919</v>
      </c>
      <c r="C10" s="46" t="n">
        <f aca="false">IF(C$8&gt;=$A10,NA(),(SUMPRODUCT(DCF!$B$14:$F$14,DCF!$B$21:$F$21,1/(1+$A10)^DCF!$B$22:$F$22)+DCF!$F$10*(1+C$8)*(1-C$8/DCF!$B$29)/($A10-C$8)/(1+$A10)^DCF!$F$22-DCF!$B$36-DCF!$B$37-DCF!$B$38+DCF!$B$39)*DCF!$B$42/DCF!$B$44)</f>
        <v>573.979710054484</v>
      </c>
      <c r="D10" s="46" t="n">
        <f aca="false">IF(D$8&gt;=$A10,NA(),(SUMPRODUCT(DCF!$B$14:$F$14,DCF!$B$21:$F$21,1/(1+$A10)^DCF!$B$22:$F$22)+DCF!$F$10*(1+D$8)*(1-D$8/DCF!$B$29)/($A10-D$8)/(1+$A10)^DCF!$F$22-DCF!$B$36-DCF!$B$37-DCF!$B$38+DCF!$B$39)*DCF!$B$42/DCF!$B$44)</f>
        <v>565.665588926925</v>
      </c>
      <c r="E10" s="46" t="n">
        <f aca="false">IF(E$8&gt;=$A10,NA(),(SUMPRODUCT(DCF!$B$14:$F$14,DCF!$B$21:$F$21,1/(1+$A10)^DCF!$B$22:$F$22)+DCF!$F$10*(1+E$8)*(1-E$8/DCF!$B$29)/($A10-E$8)/(1+$A10)^DCF!$F$22-DCF!$B$36-DCF!$B$37-DCF!$B$38+DCF!$B$39)*DCF!$B$42/DCF!$B$44)</f>
        <v>555.527992675812</v>
      </c>
      <c r="F10" s="46" t="n">
        <f aca="false">IF(F$8&gt;=$A10,NA(),(SUMPRODUCT(DCF!$B$14:$F$14,DCF!$B$21:$F$21,1/(1+$A10)^DCF!$B$22:$F$22)+DCF!$F$10*(1+F$8)*(1-F$8/DCF!$B$29)/($A10-F$8)/(1+$A10)^DCF!$F$22-DCF!$B$36-DCF!$B$37-DCF!$B$38+DCF!$B$39)*DCF!$B$42/DCF!$B$44)</f>
        <v>543.115688188434</v>
      </c>
    </row>
    <row r="11" customFormat="false" ht="15" hidden="false" customHeight="false" outlineLevel="0" collapsed="false">
      <c r="A11" s="75" t="n">
        <f aca="false">DCF!$B$27+(0)*$B$4</f>
        <v>0.1256164</v>
      </c>
      <c r="B11" s="46" t="n">
        <f aca="false">IF(B$8&gt;=$A11,NA(),(SUMPRODUCT(DCF!$B$14:$F$14,DCF!$B$21:$F$21,1/(1+$A11)^DCF!$B$22:$F$22)+DCF!$F$10*(1+B$8)*(1-B$8/DCF!$B$29)/($A11-B$8)/(1+$A11)^DCF!$F$22-DCF!$B$36-DCF!$B$37-DCF!$B$38+DCF!$B$39)*DCF!$B$42/DCF!$B$44)</f>
        <v>531.276875408261</v>
      </c>
      <c r="C11" s="46" t="n">
        <f aca="false">IF(C$8&gt;=$A11,NA(),(SUMPRODUCT(DCF!$B$14:$F$14,DCF!$B$21:$F$21,1/(1+$A11)^DCF!$B$22:$F$22)+DCF!$F$10*(1+C$8)*(1-C$8/DCF!$B$29)/($A11-C$8)/(1+$A11)^DCF!$F$22-DCF!$B$36-DCF!$B$37-DCF!$B$38+DCF!$B$39)*DCF!$B$42/DCF!$B$44)</f>
        <v>522.823843890574</v>
      </c>
      <c r="D11" s="47" t="n">
        <f aca="false">IF(D$8&gt;=$A11,NA(),(SUMPRODUCT(DCF!$B$14:$F$14,DCF!$B$21:$F$21,1/(1+$A11)^DCF!$B$22:$F$22)+DCF!$F$10*(1+D$8)*(1-D$8/DCF!$B$29)/($A11-D$8)/(1+$A11)^DCF!$F$22-DCF!$B$36-DCF!$B$37-DCF!$B$38+DCF!$B$39)*DCF!$B$42/DCF!$B$44)</f>
        <v>512.779689751377</v>
      </c>
      <c r="E11" s="46" t="n">
        <f aca="false">IF(E$8&gt;=$A11,NA(),(SUMPRODUCT(DCF!$B$14:$F$14,DCF!$B$21:$F$21,1/(1+$A11)^DCF!$B$22:$F$22)+DCF!$F$10*(1+E$8)*(1-E$8/DCF!$B$29)/($A11-E$8)/(1+$A11)^DCF!$F$22-DCF!$B$36-DCF!$B$37-DCF!$B$38+DCF!$B$39)*DCF!$B$42/DCF!$B$44)</f>
        <v>500.806434287101</v>
      </c>
      <c r="F11" s="46" t="n">
        <f aca="false">IF(F$8&gt;=$A11,NA(),(SUMPRODUCT(DCF!$B$14:$F$14,DCF!$B$21:$F$21,1/(1+$A11)^DCF!$B$22:$F$22)+DCF!$F$10*(1+F$8)*(1-F$8/DCF!$B$29)/($A11-F$8)/(1+$A11)^DCF!$F$22-DCF!$B$36-DCF!$B$37-DCF!$B$38+DCF!$B$39)*DCF!$B$42/DCF!$B$44)</f>
        <v>486.463082260638</v>
      </c>
    </row>
    <row r="12" customFormat="false" ht="15" hidden="false" customHeight="false" outlineLevel="0" collapsed="false">
      <c r="A12" s="75" t="n">
        <f aca="false">DCF!$B$27+(1)*$B$4</f>
        <v>0.1306164</v>
      </c>
      <c r="B12" s="46" t="n">
        <f aca="false">IF(B$8&gt;=$A12,NA(),(SUMPRODUCT(DCF!$B$14:$F$14,DCF!$B$21:$F$21,1/(1+$A12)^DCF!$B$22:$F$22)+DCF!$F$10*(1+B$8)*(1-B$8/DCF!$B$29)/($A12-B$8)/(1+$A12)^DCF!$F$22-DCF!$B$36-DCF!$B$37-DCF!$B$38+DCF!$B$39)*DCF!$B$42/DCF!$B$44)</f>
        <v>487.257658007067</v>
      </c>
      <c r="C12" s="46" t="n">
        <f aca="false">IF(C$8&gt;=$A12,NA(),(SUMPRODUCT(DCF!$B$14:$F$14,DCF!$B$21:$F$21,1/(1+$A12)^DCF!$B$22:$F$22)+DCF!$F$10*(1+C$8)*(1-C$8/DCF!$B$29)/($A12-C$8)/(1+$A12)^DCF!$F$22-DCF!$B$36-DCF!$B$37-DCF!$B$38+DCF!$B$39)*DCF!$B$42/DCF!$B$44)</f>
        <v>477.670460418578</v>
      </c>
      <c r="D12" s="46" t="n">
        <f aca="false">IF(D$8&gt;=$A12,NA(),(SUMPRODUCT(DCF!$B$14:$F$14,DCF!$B$21:$F$21,1/(1+$A12)^DCF!$B$22:$F$22)+DCF!$F$10*(1+D$8)*(1-D$8/DCF!$B$29)/($A12-D$8)/(1+$A12)^DCF!$F$22-DCF!$B$36-DCF!$B$37-DCF!$B$38+DCF!$B$39)*DCF!$B$42/DCF!$B$44)</f>
        <v>466.458902463789</v>
      </c>
      <c r="E12" s="46" t="n">
        <f aca="false">IF(E$8&gt;=$A12,NA(),(SUMPRODUCT(DCF!$B$14:$F$14,DCF!$B$21:$F$21,1/(1+$A12)^DCF!$B$22:$F$22)+DCF!$F$10*(1+E$8)*(1-E$8/DCF!$B$29)/($A12-E$8)/(1+$A12)^DCF!$F$22-DCF!$B$36-DCF!$B$37-DCF!$B$38+DCF!$B$39)*DCF!$B$42/DCF!$B$44)</f>
        <v>453.300760319635</v>
      </c>
      <c r="F12" s="46" t="n">
        <f aca="false">IF(F$8&gt;=$A12,NA(),(SUMPRODUCT(DCF!$B$14:$F$14,DCF!$B$21:$F$21,1/(1+$A12)^DCF!$B$22:$F$22)+DCF!$F$10*(1+F$8)*(1-F$8/DCF!$B$29)/($A12-F$8)/(1+$A12)^DCF!$F$22-DCF!$B$36-DCF!$B$37-DCF!$B$38+DCF!$B$39)*DCF!$B$42/DCF!$B$44)</f>
        <v>437.782549826056</v>
      </c>
    </row>
    <row r="13" customFormat="false" ht="15" hidden="false" customHeight="false" outlineLevel="0" collapsed="false">
      <c r="A13" s="75" t="n">
        <f aca="false">DCF!$B$27+(2)*$B$4</f>
        <v>0.1356164</v>
      </c>
      <c r="B13" s="46" t="n">
        <f aca="false">IF(B$8&gt;=$A13,NA(),(SUMPRODUCT(DCF!$B$14:$F$14,DCF!$B$21:$F$21,1/(1+$A13)^DCF!$B$22:$F$22)+DCF!$F$10*(1+B$8)*(1-B$8/DCF!$B$29)/($A13-B$8)/(1+$A13)^DCF!$F$22-DCF!$B$36-DCF!$B$37-DCF!$B$38+DCF!$B$39)*DCF!$B$42/DCF!$B$44)</f>
        <v>447.885992415038</v>
      </c>
      <c r="C13" s="46" t="n">
        <f aca="false">IF(C$8&gt;=$A13,NA(),(SUMPRODUCT(DCF!$B$14:$F$14,DCF!$B$21:$F$21,1/(1+$A13)^DCF!$B$22:$F$22)+DCF!$F$10*(1+C$8)*(1-C$8/DCF!$B$29)/($A13-C$8)/(1+$A13)^DCF!$F$22-DCF!$B$36-DCF!$B$37-DCF!$B$38+DCF!$B$39)*DCF!$B$42/DCF!$B$44)</f>
        <v>437.525441123469</v>
      </c>
      <c r="D13" s="46" t="n">
        <f aca="false">IF(D$8&gt;=$A13,NA(),(SUMPRODUCT(DCF!$B$14:$F$14,DCF!$B$21:$F$21,1/(1+$A13)^DCF!$B$22:$F$22)+DCF!$F$10*(1+D$8)*(1-D$8/DCF!$B$29)/($A13-D$8)/(1+$A13)^DCF!$F$22-DCF!$B$36-DCF!$B$37-DCF!$B$38+DCF!$B$39)*DCF!$B$42/DCF!$B$44)</f>
        <v>425.553118514876</v>
      </c>
      <c r="E13" s="46" t="n">
        <f aca="false">IF(E$8&gt;=$A13,NA(),(SUMPRODUCT(DCF!$B$14:$F$14,DCF!$B$21:$F$21,1/(1+$A13)^DCF!$B$22:$F$22)+DCF!$F$10*(1+E$8)*(1-E$8/DCF!$B$29)/($A13-E$8)/(1+$A13)^DCF!$F$22-DCF!$B$36-DCF!$B$37-DCF!$B$38+DCF!$B$39)*DCF!$B$42/DCF!$B$44)</f>
        <v>411.66912816923</v>
      </c>
      <c r="F13" s="46" t="n">
        <f aca="false">IF(F$8&gt;=$A13,NA(),(SUMPRODUCT(DCF!$B$14:$F$14,DCF!$B$21:$F$21,1/(1+$A13)^DCF!$B$22:$F$22)+DCF!$F$10*(1+F$8)*(1-F$8/DCF!$B$29)/($A13-F$8)/(1+$A13)^DCF!$F$22-DCF!$B$36-DCF!$B$37-DCF!$B$38+DCF!$B$39)*DCF!$B$42/DCF!$B$44)</f>
        <v>395.494253196338</v>
      </c>
    </row>
    <row r="15" customFormat="false" ht="15" hidden="false" customHeight="false" outlineLevel="0" collapsed="false">
      <c r="A15" s="40" t="s">
        <v>334</v>
      </c>
    </row>
    <row r="16" customFormat="false" ht="15" hidden="false" customHeight="false" outlineLevel="0" collapsed="false">
      <c r="A16" s="39" t="s">
        <v>335</v>
      </c>
      <c r="B16" s="86" t="n">
        <f aca="false">DCF!$B$65+(-2)*$B$5</f>
        <v>6</v>
      </c>
      <c r="C16" s="86" t="n">
        <f aca="false">DCF!$B$65+(-1)*$B$5</f>
        <v>8</v>
      </c>
      <c r="D16" s="86" t="n">
        <f aca="false">DCF!$B$65+(0)*$B$5</f>
        <v>10</v>
      </c>
      <c r="E16" s="86" t="n">
        <f aca="false">DCF!$B$65+(1)*$B$5</f>
        <v>12</v>
      </c>
      <c r="F16" s="86" t="n">
        <f aca="false">DCF!$B$65+(2)*$B$5</f>
        <v>14</v>
      </c>
    </row>
    <row r="17" customFormat="false" ht="15" hidden="false" customHeight="false" outlineLevel="0" collapsed="false">
      <c r="A17" s="75" t="n">
        <f aca="false">DCF!$B$27+(-2)*$B$4</f>
        <v>0.1156164</v>
      </c>
      <c r="B17" s="46" t="n">
        <f aca="false">(SUMPRODUCT(DCF!$B$14:$F$14,DCF!$B$21:$F$21,1/(1+$A17)^DCF!$B$22:$F$22)+B$16*DCF!$B$63/(1+$A17)^DCF!$F$22-DCF!$B$36-DCF!$B$37-DCF!$B$38+DCF!$B$39)*DCF!$B$42/DCF!$B$44</f>
        <v>706.953796531303</v>
      </c>
      <c r="C17" s="46" t="n">
        <f aca="false">(SUMPRODUCT(DCF!$B$14:$F$14,DCF!$B$21:$F$21,1/(1+$A17)^DCF!$B$22:$F$22)+C$16*DCF!$B$63/(1+$A17)^DCF!$F$22-DCF!$B$36-DCF!$B$37-DCF!$B$38+DCF!$B$39)*DCF!$B$42/DCF!$B$44</f>
        <v>952.298488326392</v>
      </c>
      <c r="D17" s="46" t="n">
        <f aca="false">(SUMPRODUCT(DCF!$B$14:$F$14,DCF!$B$21:$F$21,1/(1+$A17)^DCF!$B$22:$F$22)+D$16*DCF!$B$63/(1+$A17)^DCF!$F$22-DCF!$B$36-DCF!$B$37-DCF!$B$38+DCF!$B$39)*DCF!$B$42/DCF!$B$44</f>
        <v>1197.64318012148</v>
      </c>
      <c r="E17" s="46" t="n">
        <f aca="false">(SUMPRODUCT(DCF!$B$14:$F$14,DCF!$B$21:$F$21,1/(1+$A17)^DCF!$B$22:$F$22)+E$16*DCF!$B$63/(1+$A17)^DCF!$F$22-DCF!$B$36-DCF!$B$37-DCF!$B$38+DCF!$B$39)*DCF!$B$42/DCF!$B$44</f>
        <v>1442.98787191657</v>
      </c>
      <c r="F17" s="46" t="n">
        <f aca="false">(SUMPRODUCT(DCF!$B$14:$F$14,DCF!$B$21:$F$21,1/(1+$A17)^DCF!$B$22:$F$22)+F$16*DCF!$B$63/(1+$A17)^DCF!$F$22-DCF!$B$36-DCF!$B$37-DCF!$B$38+DCF!$B$39)*DCF!$B$42/DCF!$B$44</f>
        <v>1688.33256371166</v>
      </c>
    </row>
    <row r="18" customFormat="false" ht="15" hidden="false" customHeight="false" outlineLevel="0" collapsed="false">
      <c r="A18" s="75" t="n">
        <f aca="false">DCF!$B$27+(-1)*$B$4</f>
        <v>0.1206164</v>
      </c>
      <c r="B18" s="46" t="n">
        <f aca="false">(SUMPRODUCT(DCF!$B$14:$F$14,DCF!$B$21:$F$21,1/(1+$A18)^DCF!$B$22:$F$22)+B$16*DCF!$B$63/(1+$A18)^DCF!$F$22-DCF!$B$36-DCF!$B$37-DCF!$B$38+DCF!$B$39)*DCF!$B$42/DCF!$B$44</f>
        <v>689.90384782781</v>
      </c>
      <c r="C18" s="46" t="n">
        <f aca="false">(SUMPRODUCT(DCF!$B$14:$F$14,DCF!$B$21:$F$21,1/(1+$A18)^DCF!$B$22:$F$22)+C$16*DCF!$B$63/(1+$A18)^DCF!$F$22-DCF!$B$36-DCF!$B$37-DCF!$B$38+DCF!$B$39)*DCF!$B$42/DCF!$B$44</f>
        <v>930.361508228743</v>
      </c>
      <c r="D18" s="46" t="n">
        <f aca="false">(SUMPRODUCT(DCF!$B$14:$F$14,DCF!$B$21:$F$21,1/(1+$A18)^DCF!$B$22:$F$22)+D$16*DCF!$B$63/(1+$A18)^DCF!$F$22-DCF!$B$36-DCF!$B$37-DCF!$B$38+DCF!$B$39)*DCF!$B$42/DCF!$B$44</f>
        <v>1170.81916862968</v>
      </c>
      <c r="E18" s="46" t="n">
        <f aca="false">(SUMPRODUCT(DCF!$B$14:$F$14,DCF!$B$21:$F$21,1/(1+$A18)^DCF!$B$22:$F$22)+E$16*DCF!$B$63/(1+$A18)^DCF!$F$22-DCF!$B$36-DCF!$B$37-DCF!$B$38+DCF!$B$39)*DCF!$B$42/DCF!$B$44</f>
        <v>1411.27682903061</v>
      </c>
      <c r="F18" s="46" t="n">
        <f aca="false">(SUMPRODUCT(DCF!$B$14:$F$14,DCF!$B$21:$F$21,1/(1+$A18)^DCF!$B$22:$F$22)+F$16*DCF!$B$63/(1+$A18)^DCF!$F$22-DCF!$B$36-DCF!$B$37-DCF!$B$38+DCF!$B$39)*DCF!$B$42/DCF!$B$44</f>
        <v>1651.73448943154</v>
      </c>
    </row>
    <row r="19" customFormat="false" ht="15" hidden="false" customHeight="false" outlineLevel="0" collapsed="false">
      <c r="A19" s="75" t="n">
        <f aca="false">DCF!$B$27+(0)*$B$4</f>
        <v>0.1256164</v>
      </c>
      <c r="B19" s="46" t="n">
        <f aca="false">(SUMPRODUCT(DCF!$B$14:$F$14,DCF!$B$21:$F$21,1/(1+$A19)^DCF!$B$22:$F$22)+B$16*DCF!$B$63/(1+$A19)^DCF!$F$22-DCF!$B$36-DCF!$B$37-DCF!$B$38+DCF!$B$39)*DCF!$B$42/DCF!$B$44</f>
        <v>673.255594017346</v>
      </c>
      <c r="C19" s="46" t="n">
        <f aca="false">(SUMPRODUCT(DCF!$B$14:$F$14,DCF!$B$21:$F$21,1/(1+$A19)^DCF!$B$22:$F$22)+C$16*DCF!$B$63/(1+$A19)^DCF!$F$22-DCF!$B$36-DCF!$B$37-DCF!$B$38+DCF!$B$39)*DCF!$B$42/DCF!$B$44</f>
        <v>908.944678430213</v>
      </c>
      <c r="D19" s="47" t="n">
        <f aca="false">(SUMPRODUCT(DCF!$B$14:$F$14,DCF!$B$21:$F$21,1/(1+$A19)^DCF!$B$22:$F$22)+D$16*DCF!$B$63/(1+$A19)^DCF!$F$22-DCF!$B$36-DCF!$B$37-DCF!$B$38+DCF!$B$39)*DCF!$B$42/DCF!$B$44</f>
        <v>1144.63376284308</v>
      </c>
      <c r="E19" s="46" t="n">
        <f aca="false">(SUMPRODUCT(DCF!$B$14:$F$14,DCF!$B$21:$F$21,1/(1+$A19)^DCF!$B$22:$F$22)+E$16*DCF!$B$63/(1+$A19)^DCF!$F$22-DCF!$B$36-DCF!$B$37-DCF!$B$38+DCF!$B$39)*DCF!$B$42/DCF!$B$44</f>
        <v>1380.32284725595</v>
      </c>
      <c r="F19" s="46" t="n">
        <f aca="false">(SUMPRODUCT(DCF!$B$14:$F$14,DCF!$B$21:$F$21,1/(1+$A19)^DCF!$B$22:$F$22)+F$16*DCF!$B$63/(1+$A19)^DCF!$F$22-DCF!$B$36-DCF!$B$37-DCF!$B$38+DCF!$B$39)*DCF!$B$42/DCF!$B$44</f>
        <v>1616.01193166881</v>
      </c>
    </row>
    <row r="20" customFormat="false" ht="15" hidden="false" customHeight="false" outlineLevel="0" collapsed="false">
      <c r="A20" s="75" t="n">
        <f aca="false">DCF!$B$27+(1)*$B$4</f>
        <v>0.1306164</v>
      </c>
      <c r="B20" s="46" t="n">
        <f aca="false">(SUMPRODUCT(DCF!$B$14:$F$14,DCF!$B$21:$F$21,1/(1+$A20)^DCF!$B$22:$F$22)+B$16*DCF!$B$63/(1+$A20)^DCF!$F$22-DCF!$B$36-DCF!$B$37-DCF!$B$38+DCF!$B$39)*DCF!$B$42/DCF!$B$44</f>
        <v>656.997743702566</v>
      </c>
      <c r="C20" s="46" t="n">
        <f aca="false">(SUMPRODUCT(DCF!$B$14:$F$14,DCF!$B$21:$F$21,1/(1+$A20)^DCF!$B$22:$F$22)+C$16*DCF!$B$63/(1+$A20)^DCF!$F$22-DCF!$B$36-DCF!$B$37-DCF!$B$38+DCF!$B$39)*DCF!$B$42/DCF!$B$44</f>
        <v>888.033329132418</v>
      </c>
      <c r="D20" s="46" t="n">
        <f aca="false">(SUMPRODUCT(DCF!$B$14:$F$14,DCF!$B$21:$F$21,1/(1+$A20)^DCF!$B$22:$F$22)+D$16*DCF!$B$63/(1+$A20)^DCF!$F$22-DCF!$B$36-DCF!$B$37-DCF!$B$38+DCF!$B$39)*DCF!$B$42/DCF!$B$44</f>
        <v>1119.06891456227</v>
      </c>
      <c r="E20" s="46" t="n">
        <f aca="false">(SUMPRODUCT(DCF!$B$14:$F$14,DCF!$B$21:$F$21,1/(1+$A20)^DCF!$B$22:$F$22)+E$16*DCF!$B$63/(1+$A20)^DCF!$F$22-DCF!$B$36-DCF!$B$37-DCF!$B$38+DCF!$B$39)*DCF!$B$42/DCF!$B$44</f>
        <v>1350.10449999212</v>
      </c>
      <c r="F20" s="46" t="n">
        <f aca="false">(SUMPRODUCT(DCF!$B$14:$F$14,DCF!$B$21:$F$21,1/(1+$A20)^DCF!$B$22:$F$22)+F$16*DCF!$B$63/(1+$A20)^DCF!$F$22-DCF!$B$36-DCF!$B$37-DCF!$B$38+DCF!$B$39)*DCF!$B$42/DCF!$B$44</f>
        <v>1581.14008542197</v>
      </c>
    </row>
    <row r="21" customFormat="false" ht="15" hidden="false" customHeight="false" outlineLevel="0" collapsed="false">
      <c r="A21" s="75" t="n">
        <f aca="false">DCF!$B$27+(2)*$B$4</f>
        <v>0.1356164</v>
      </c>
      <c r="B21" s="46" t="n">
        <f aca="false">(SUMPRODUCT(DCF!$B$14:$F$14,DCF!$B$21:$F$21,1/(1+$A21)^DCF!$B$22:$F$22)+B$16*DCF!$B$63/(1+$A21)^DCF!$F$22-DCF!$B$36-DCF!$B$37-DCF!$B$38+DCF!$B$39)*DCF!$B$42/DCF!$B$44</f>
        <v>641.119372178411</v>
      </c>
      <c r="C21" s="46" t="n">
        <f aca="false">(SUMPRODUCT(DCF!$B$14:$F$14,DCF!$B$21:$F$21,1/(1+$A21)^DCF!$B$22:$F$22)+C$16*DCF!$B$63/(1+$A21)^DCF!$F$22-DCF!$B$36-DCF!$B$37-DCF!$B$38+DCF!$B$39)*DCF!$B$42/DCF!$B$44</f>
        <v>867.613267921581</v>
      </c>
      <c r="D21" s="46" t="n">
        <f aca="false">(SUMPRODUCT(DCF!$B$14:$F$14,DCF!$B$21:$F$21,1/(1+$A21)^DCF!$B$22:$F$22)+D$16*DCF!$B$63/(1+$A21)^DCF!$F$22-DCF!$B$36-DCF!$B$37-DCF!$B$38+DCF!$B$39)*DCF!$B$42/DCF!$B$44</f>
        <v>1094.10716366475</v>
      </c>
      <c r="E21" s="46" t="n">
        <f aca="false">(SUMPRODUCT(DCF!$B$14:$F$14,DCF!$B$21:$F$21,1/(1+$A21)^DCF!$B$22:$F$22)+E$16*DCF!$B$63/(1+$A21)^DCF!$F$22-DCF!$B$36-DCF!$B$37-DCF!$B$38+DCF!$B$39)*DCF!$B$42/DCF!$B$44</f>
        <v>1320.60105940792</v>
      </c>
      <c r="F21" s="46" t="n">
        <f aca="false">(SUMPRODUCT(DCF!$B$14:$F$14,DCF!$B$21:$F$21,1/(1+$A21)^DCF!$B$22:$F$22)+F$16*DCF!$B$63/(1+$A21)^DCF!$F$22-DCF!$B$36-DCF!$B$37-DCF!$B$38+DCF!$B$39)*DCF!$B$42/DCF!$B$44</f>
        <v>1547.09495515109</v>
      </c>
    </row>
  </sheetData>
  <sheetProtection sheet="true" formatColumns="false" formatRows="false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3" style="0" width="13"/>
  </cols>
  <sheetData>
    <row r="1" customFormat="false" ht="17.3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5" t="s">
        <v>97</v>
      </c>
      <c r="B4" s="26" t="s">
        <v>98</v>
      </c>
      <c r="C4" s="26" t="s">
        <v>99</v>
      </c>
      <c r="D4" s="26" t="s">
        <v>100</v>
      </c>
      <c r="E4" s="26" t="s">
        <v>101</v>
      </c>
      <c r="F4" s="26" t="s">
        <v>64</v>
      </c>
      <c r="G4" s="26" t="s">
        <v>66</v>
      </c>
      <c r="H4" s="26" t="s">
        <v>102</v>
      </c>
      <c r="I4" s="26" t="s">
        <v>103</v>
      </c>
      <c r="J4" s="26" t="s">
        <v>104</v>
      </c>
      <c r="K4" s="26" t="s">
        <v>5</v>
      </c>
      <c r="L4" s="26" t="s">
        <v>6</v>
      </c>
      <c r="M4" s="26" t="s">
        <v>7</v>
      </c>
      <c r="N4" s="26" t="s">
        <v>56</v>
      </c>
      <c r="O4" s="26" t="s">
        <v>105</v>
      </c>
      <c r="P4" s="26" t="s">
        <v>58</v>
      </c>
    </row>
    <row r="5" customFormat="false" ht="15" hidden="false" customHeight="false" outlineLevel="0" collapsed="false">
      <c r="A5" s="27" t="s">
        <v>337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customFormat="false" ht="15" hidden="false" customHeight="false" outlineLevel="0" collapsed="false">
      <c r="A6" s="8" t="s">
        <v>338</v>
      </c>
      <c r="B6" s="87" t="n">
        <f aca="false">('Balance Sheet'!B13-'Balance Sheet'!B22)</f>
        <v>0</v>
      </c>
      <c r="C6" s="87" t="n">
        <f aca="false">('Balance Sheet'!C13-'Balance Sheet'!C22)</f>
        <v>0</v>
      </c>
      <c r="D6" s="87" t="n">
        <f aca="false">('Balance Sheet'!D13-'Balance Sheet'!D22)</f>
        <v>0</v>
      </c>
      <c r="E6" s="87" t="n">
        <f aca="false">('Balance Sheet'!E13-'Balance Sheet'!E22)</f>
        <v>0</v>
      </c>
      <c r="F6" s="87" t="n">
        <f aca="false">('Balance Sheet'!F13-'Balance Sheet'!F22)</f>
        <v>0</v>
      </c>
      <c r="G6" s="87" t="n">
        <f aca="false">('Balance Sheet'!G13-'Balance Sheet'!G22)</f>
        <v>0</v>
      </c>
      <c r="H6" s="87" t="n">
        <f aca="false">('Balance Sheet'!H13-'Balance Sheet'!H22)</f>
        <v>0</v>
      </c>
      <c r="I6" s="87" t="n">
        <f aca="false">('Balance Sheet'!I13-'Balance Sheet'!I22)</f>
        <v>0</v>
      </c>
      <c r="J6" s="87" t="n">
        <f aca="false">('Balance Sheet'!J13-'Balance Sheet'!J22)</f>
        <v>0</v>
      </c>
      <c r="K6" s="87" t="n">
        <f aca="false">('Balance Sheet'!K13-'Balance Sheet'!K22)</f>
        <v>0</v>
      </c>
      <c r="L6" s="87" t="n">
        <f aca="false">('Balance Sheet'!L13-'Balance Sheet'!L22)</f>
        <v>0</v>
      </c>
      <c r="M6" s="87" t="n">
        <f aca="false">('Balance Sheet'!M13-'Balance Sheet'!M22)</f>
        <v>0</v>
      </c>
      <c r="N6" s="87" t="n">
        <f aca="false">('Balance Sheet'!N13-'Balance Sheet'!N22)</f>
        <v>0</v>
      </c>
      <c r="O6" s="87" t="n">
        <f aca="false">('Balance Sheet'!O13-'Balance Sheet'!O22)</f>
        <v>0</v>
      </c>
      <c r="P6" s="87" t="n">
        <f aca="false">('Balance Sheet'!P13-'Balance Sheet'!P22)</f>
        <v>0</v>
      </c>
    </row>
    <row r="7" customFormat="false" ht="15" hidden="false" customHeight="false" outlineLevel="0" collapsed="false">
      <c r="A7" s="8" t="s">
        <v>339</v>
      </c>
      <c r="B7" s="87" t="n">
        <f aca="false">('Balance Sheet'!B6-'Cash Flow'!B23)</f>
        <v>-8330.01</v>
      </c>
      <c r="C7" s="87" t="n">
        <f aca="false">('Balance Sheet'!C6-'Cash Flow'!C23)</f>
        <v>117.539999999997</v>
      </c>
      <c r="D7" s="87" t="n">
        <f aca="false">('Balance Sheet'!D6-'Cash Flow'!D23)</f>
        <v>-479.429999999999</v>
      </c>
      <c r="E7" s="87" t="n">
        <f aca="false">('Balance Sheet'!E6-'Cash Flow'!E23)</f>
        <v>-2028.33</v>
      </c>
      <c r="F7" s="87" t="n">
        <f aca="false">('Balance Sheet'!F6-'Cash Flow'!F23)</f>
        <v>1006.35</v>
      </c>
      <c r="G7" s="87" t="n">
        <f aca="false">('Balance Sheet'!G6-'Cash Flow'!G23)</f>
        <v>7550.11</v>
      </c>
      <c r="H7" s="87" t="n">
        <f aca="false">('Balance Sheet'!H6-'Cash Flow'!H23)</f>
        <v>-661.070000000001</v>
      </c>
      <c r="I7" s="87" t="n">
        <f aca="false">('Balance Sheet'!I6-'Cash Flow'!I23)</f>
        <v>574.300000000003</v>
      </c>
      <c r="J7" s="87" t="n">
        <f aca="false">('Balance Sheet'!J6-'Cash Flow'!J23)</f>
        <v>-89.5900000000102</v>
      </c>
      <c r="K7" s="87" t="n">
        <f aca="false">('Balance Sheet'!K6-'Cash Flow'!K23)</f>
        <v>22611.66</v>
      </c>
      <c r="L7" s="87" t="n">
        <f aca="false">('Balance Sheet'!L6-'Cash Flow'!L23)</f>
        <v>0</v>
      </c>
      <c r="M7" s="87" t="n">
        <f aca="false">('Balance Sheet'!M6-'Cash Flow'!M23)</f>
        <v>0</v>
      </c>
      <c r="N7" s="87" t="n">
        <f aca="false">('Balance Sheet'!N6-'Cash Flow'!N23)</f>
        <v>0</v>
      </c>
      <c r="O7" s="87" t="n">
        <f aca="false">('Balance Sheet'!O6-'Cash Flow'!O23)</f>
        <v>0</v>
      </c>
      <c r="P7" s="87" t="n">
        <f aca="false">('Balance Sheet'!P6-'Cash Flow'!P23)</f>
        <v>0</v>
      </c>
    </row>
    <row r="8" customFormat="false" ht="15" hidden="false" customHeight="false" outlineLevel="0" collapsed="false">
      <c r="A8" s="8" t="s">
        <v>340</v>
      </c>
      <c r="B8" s="87" t="n">
        <f aca="false">('Balance Sheet'!B16-(((0+'Income Statement'!B18)-Schedules!B22)+Drivers!B27))</f>
        <v>13469.49</v>
      </c>
      <c r="C8" s="87" t="n">
        <f aca="false">('Balance Sheet'!C16-((('Balance Sheet'!B16+'Income Statement'!C18)-Schedules!C22)+Drivers!C27))</f>
        <v>117.539999999997</v>
      </c>
      <c r="D8" s="87" t="n">
        <f aca="false">('Balance Sheet'!D16-((('Balance Sheet'!C16+'Income Statement'!D18)-Schedules!D22)+Drivers!D27))</f>
        <v>-479.43</v>
      </c>
      <c r="E8" s="87" t="n">
        <f aca="false">('Balance Sheet'!E16-((('Balance Sheet'!D16+'Income Statement'!E18)-Schedules!E22)+Drivers!E27))</f>
        <v>-2020.49</v>
      </c>
      <c r="F8" s="87" t="n">
        <f aca="false">('Balance Sheet'!F16-((('Balance Sheet'!E16+'Income Statement'!F18)-Schedules!F22)+Drivers!F27))</f>
        <v>1006.35</v>
      </c>
      <c r="G8" s="87" t="n">
        <f aca="false">('Balance Sheet'!G16-((('Balance Sheet'!F16+'Income Statement'!G18)-Schedules!G22)+Drivers!G27))</f>
        <v>7533.99</v>
      </c>
      <c r="H8" s="87" t="n">
        <f aca="false">('Balance Sheet'!H16-((('Balance Sheet'!G16+'Income Statement'!H18)-Schedules!H22)+Drivers!H27))</f>
        <v>-670.629999999997</v>
      </c>
      <c r="I8" s="87" t="n">
        <f aca="false">('Balance Sheet'!I16-((('Balance Sheet'!H16+'Income Statement'!I18)-Schedules!I22)+Drivers!I27))</f>
        <v>574.299999999996</v>
      </c>
      <c r="J8" s="87" t="n">
        <f aca="false">('Balance Sheet'!J16-((('Balance Sheet'!I16+'Income Statement'!J18)-Schedules!J22)+Drivers!J27))</f>
        <v>-89.5899999999965</v>
      </c>
      <c r="K8" s="87" t="n">
        <f aca="false">('Balance Sheet'!K16-((('Balance Sheet'!J16+'Income Statement'!K18)-Schedules!K22)+Drivers!K27))</f>
        <v>22582.9</v>
      </c>
      <c r="L8" s="87" t="n">
        <f aca="false">('Balance Sheet'!L16-((('Balance Sheet'!K16+'Income Statement'!L18)-Schedules!L22)+Drivers!L27))</f>
        <v>0</v>
      </c>
      <c r="M8" s="87" t="n">
        <f aca="false">('Balance Sheet'!M16-((('Balance Sheet'!L16+'Income Statement'!M18)-Schedules!M22)+Drivers!M27))</f>
        <v>0</v>
      </c>
      <c r="N8" s="87" t="n">
        <f aca="false">('Balance Sheet'!N16-((('Balance Sheet'!M16+'Income Statement'!N18)-Schedules!N22)+Drivers!N27))</f>
        <v>0</v>
      </c>
      <c r="O8" s="87" t="n">
        <f aca="false">('Balance Sheet'!O16-((('Balance Sheet'!N16+'Income Statement'!O18)-Schedules!O22)+Drivers!O27))</f>
        <v>0</v>
      </c>
      <c r="P8" s="87" t="n">
        <f aca="false">('Balance Sheet'!P16-((('Balance Sheet'!O16+'Income Statement'!P18)-Schedules!P22)+Drivers!P27))</f>
        <v>0</v>
      </c>
    </row>
    <row r="9" customFormat="false" ht="15" hidden="false" customHeight="false" outlineLevel="0" collapsed="false">
      <c r="A9" s="8" t="s">
        <v>341</v>
      </c>
      <c r="B9" s="87" t="n">
        <f aca="false">('Balance Sheet'!B10-Schedules!B9)</f>
        <v>22213.69</v>
      </c>
      <c r="C9" s="87" t="n">
        <f aca="false">('Balance Sheet'!C10-Schedules!C9)</f>
        <v>0</v>
      </c>
      <c r="D9" s="87" t="n">
        <f aca="false">('Balance Sheet'!D10-Schedules!D9)</f>
        <v>0</v>
      </c>
      <c r="E9" s="87" t="n">
        <f aca="false">('Balance Sheet'!E10-Schedules!E9)</f>
        <v>0</v>
      </c>
      <c r="F9" s="87" t="n">
        <f aca="false">('Balance Sheet'!F10-Schedules!F9)</f>
        <v>0</v>
      </c>
      <c r="G9" s="87" t="n">
        <f aca="false">('Balance Sheet'!G10-Schedules!G9)</f>
        <v>0</v>
      </c>
      <c r="H9" s="87" t="n">
        <f aca="false">('Balance Sheet'!H10-Schedules!H9)</f>
        <v>0</v>
      </c>
      <c r="I9" s="87" t="n">
        <f aca="false">('Balance Sheet'!I10-Schedules!I9)</f>
        <v>0</v>
      </c>
      <c r="J9" s="87" t="n">
        <f aca="false">('Balance Sheet'!J10-Schedules!J9)</f>
        <v>0</v>
      </c>
      <c r="K9" s="87" t="n">
        <f aca="false">('Balance Sheet'!K10-Schedules!K9)</f>
        <v>0</v>
      </c>
      <c r="L9" s="87" t="n">
        <f aca="false">('Balance Sheet'!L10-Schedules!L9)</f>
        <v>0</v>
      </c>
      <c r="M9" s="87" t="n">
        <f aca="false">('Balance Sheet'!M10-Schedules!M9)</f>
        <v>0</v>
      </c>
      <c r="N9" s="87" t="n">
        <f aca="false">('Balance Sheet'!N10-Schedules!N9)</f>
        <v>0</v>
      </c>
      <c r="O9" s="87" t="n">
        <f aca="false">('Balance Sheet'!O10-Schedules!O9)</f>
        <v>0</v>
      </c>
      <c r="P9" s="87" t="n">
        <f aca="false">('Balance Sheet'!P10-Schedules!P9)</f>
        <v>0</v>
      </c>
    </row>
    <row r="10" customFormat="false" ht="15" hidden="false" customHeight="false" outlineLevel="0" collapsed="false">
      <c r="A10" s="27" t="s">
        <v>342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customFormat="false" ht="15" hidden="false" customHeight="false" outlineLevel="0" collapsed="false">
      <c r="A11" s="8" t="s">
        <v>343</v>
      </c>
      <c r="B11" s="87" t="n">
        <f aca="false">('Balance Sheet'!B6-Drivers!B29)</f>
        <v>1976.8</v>
      </c>
      <c r="C11" s="87" t="n">
        <f aca="false">('Balance Sheet'!C6-Drivers!C29)</f>
        <v>2967.55</v>
      </c>
      <c r="D11" s="87" t="n">
        <f aca="false">('Balance Sheet'!D6-Drivers!D29)</f>
        <v>5967.3</v>
      </c>
      <c r="E11" s="87" t="n">
        <f aca="false">('Balance Sheet'!E6-Drivers!E29)</f>
        <v>7313.86</v>
      </c>
      <c r="F11" s="87" t="n">
        <f aca="false">('Balance Sheet'!F6-Drivers!F29)</f>
        <v>4700.78</v>
      </c>
      <c r="G11" s="87" t="n">
        <f aca="false">('Balance Sheet'!G6-Drivers!G29)</f>
        <v>10667.41</v>
      </c>
      <c r="H11" s="87" t="n">
        <f aca="false">('Balance Sheet'!H6-Drivers!H29)</f>
        <v>4334.31</v>
      </c>
      <c r="I11" s="87" t="n">
        <f aca="false">('Balance Sheet'!I6-Drivers!I29)</f>
        <v>7631.88</v>
      </c>
      <c r="J11" s="87" t="n">
        <f aca="false">('Balance Sheet'!J6-Drivers!J29)</f>
        <v>6605.97</v>
      </c>
      <c r="K11" s="87" t="n">
        <f aca="false">('Balance Sheet'!K6-Drivers!K29)</f>
        <v>8483.51</v>
      </c>
      <c r="L11" s="87" t="n">
        <f aca="false">('Balance Sheet'!L6-Drivers!L29)</f>
        <v>10550.4783685162</v>
      </c>
      <c r="M11" s="87" t="n">
        <f aca="false">('Balance Sheet'!M6-Drivers!M29)</f>
        <v>18171.5525715915</v>
      </c>
      <c r="N11" s="87" t="n">
        <f aca="false">('Balance Sheet'!N6-Drivers!N29)</f>
        <v>26727.4787849327</v>
      </c>
      <c r="O11" s="87" t="n">
        <f aca="false">('Balance Sheet'!O6-Drivers!O29)</f>
        <v>36651.5365914683</v>
      </c>
      <c r="P11" s="87" t="n">
        <f aca="false">('Balance Sheet'!P6-Drivers!P29)</f>
        <v>49620.6086989759</v>
      </c>
    </row>
    <row r="12" customFormat="false" ht="15" hidden="false" customHeight="false" outlineLevel="0" collapsed="false">
      <c r="A12" s="8" t="s">
        <v>344</v>
      </c>
      <c r="B12" s="87" t="n">
        <f aca="false">'Balance Sheet'!B18</f>
        <v>0</v>
      </c>
      <c r="C12" s="87" t="n">
        <f aca="false">'Balance Sheet'!C18</f>
        <v>0</v>
      </c>
      <c r="D12" s="87" t="n">
        <f aca="false">'Balance Sheet'!D18</f>
        <v>0</v>
      </c>
      <c r="E12" s="87" t="n">
        <f aca="false">'Balance Sheet'!E18</f>
        <v>0</v>
      </c>
      <c r="F12" s="87" t="n">
        <f aca="false">'Balance Sheet'!F18</f>
        <v>0</v>
      </c>
      <c r="G12" s="87" t="n">
        <f aca="false">'Balance Sheet'!G18</f>
        <v>0</v>
      </c>
      <c r="H12" s="87" t="n">
        <f aca="false">'Balance Sheet'!H18</f>
        <v>0</v>
      </c>
      <c r="I12" s="87" t="n">
        <f aca="false">'Balance Sheet'!I18</f>
        <v>0</v>
      </c>
      <c r="J12" s="87" t="n">
        <f aca="false">'Balance Sheet'!J18</f>
        <v>0</v>
      </c>
      <c r="K12" s="87" t="n">
        <f aca="false">'Balance Sheet'!K18</f>
        <v>0</v>
      </c>
      <c r="L12" s="87" t="n">
        <f aca="false">'Balance Sheet'!L18</f>
        <v>0</v>
      </c>
      <c r="M12" s="87" t="n">
        <f aca="false">'Balance Sheet'!M18</f>
        <v>0</v>
      </c>
      <c r="N12" s="87" t="n">
        <f aca="false">'Balance Sheet'!N18</f>
        <v>0</v>
      </c>
      <c r="O12" s="87" t="n">
        <f aca="false">'Balance Sheet'!O18</f>
        <v>0</v>
      </c>
      <c r="P12" s="87" t="n">
        <f aca="false">'Balance Sheet'!P18</f>
        <v>0</v>
      </c>
    </row>
    <row r="13" customFormat="false" ht="15" hidden="false" customHeight="false" outlineLevel="0" collapsed="false">
      <c r="A13" s="8" t="s">
        <v>345</v>
      </c>
      <c r="B13" s="87" t="n">
        <f aca="false">'Balance Sheet'!B10</f>
        <v>21053.5</v>
      </c>
      <c r="C13" s="87" t="n">
        <f aca="false">'Balance Sheet'!C10</f>
        <v>22670.01</v>
      </c>
      <c r="D13" s="87" t="n">
        <f aca="false">'Balance Sheet'!D10</f>
        <v>28121.42</v>
      </c>
      <c r="E13" s="87" t="n">
        <f aca="false">'Balance Sheet'!E10</f>
        <v>32714.51</v>
      </c>
      <c r="F13" s="87" t="n">
        <f aca="false">'Balance Sheet'!F10</f>
        <v>48290.96</v>
      </c>
      <c r="G13" s="87" t="n">
        <f aca="false">'Balance Sheet'!G10</f>
        <v>62552.92</v>
      </c>
      <c r="H13" s="87" t="n">
        <f aca="false">'Balance Sheet'!H10</f>
        <v>72223.73</v>
      </c>
      <c r="I13" s="87" t="n">
        <f aca="false">'Balance Sheet'!I10</f>
        <v>75147.81</v>
      </c>
      <c r="J13" s="87" t="n">
        <f aca="false">'Balance Sheet'!J10</f>
        <v>89616.32</v>
      </c>
      <c r="K13" s="87" t="n">
        <f aca="false">'Balance Sheet'!K10</f>
        <v>131652.5</v>
      </c>
      <c r="L13" s="87" t="n">
        <f aca="false">'Balance Sheet'!L10</f>
        <v>138607.49234293</v>
      </c>
      <c r="M13" s="87" t="n">
        <f aca="false">'Balance Sheet'!M10</f>
        <v>146526.286735102</v>
      </c>
      <c r="N13" s="87" t="n">
        <f aca="false">'Balance Sheet'!N10</f>
        <v>155685.272967819</v>
      </c>
      <c r="O13" s="87" t="n">
        <f aca="false">'Balance Sheet'!O10</f>
        <v>166228.332603398</v>
      </c>
      <c r="P13" s="87" t="n">
        <f aca="false">'Balance Sheet'!P10</f>
        <v>176959.616310316</v>
      </c>
    </row>
    <row r="14" customFormat="false" ht="15" hidden="false" customHeight="false" outlineLevel="0" collapsed="false">
      <c r="A14" s="8" t="s">
        <v>240</v>
      </c>
      <c r="B14" s="87" t="n">
        <f aca="false">Schedules!B24</f>
        <v>17525.98</v>
      </c>
      <c r="C14" s="87" t="n">
        <f aca="false">Schedules!C24</f>
        <v>20902.95</v>
      </c>
      <c r="D14" s="87" t="n">
        <f aca="false">Schedules!D24</f>
        <v>24372.32</v>
      </c>
      <c r="E14" s="87" t="n">
        <f aca="false">Schedules!E24</f>
        <v>25456.96</v>
      </c>
      <c r="F14" s="87" t="n">
        <f aca="false">Schedules!F24</f>
        <v>30441.73</v>
      </c>
      <c r="G14" s="87" t="n">
        <f aca="false">Schedules!G24</f>
        <v>41821.69</v>
      </c>
      <c r="H14" s="87" t="n">
        <f aca="false">Schedules!H24</f>
        <v>45389.39</v>
      </c>
      <c r="I14" s="87" t="n">
        <f aca="false">Schedules!I24</f>
        <v>52778.24</v>
      </c>
      <c r="J14" s="87" t="n">
        <f aca="false">Schedules!J24</f>
        <v>62268.86</v>
      </c>
      <c r="K14" s="87" t="n">
        <f aca="false">Schedules!K24</f>
        <v>95958.77</v>
      </c>
      <c r="L14" s="87" t="n">
        <f aca="false">Schedules!L24</f>
        <v>107697.663166331</v>
      </c>
      <c r="M14" s="87" t="n">
        <f aca="false">Schedules!M24</f>
        <v>121423.251026182</v>
      </c>
      <c r="N14" s="87" t="n">
        <f aca="false">Schedules!N24</f>
        <v>137717.507009818</v>
      </c>
      <c r="O14" s="87" t="n">
        <f aca="false">Schedules!O24</f>
        <v>157026.956694116</v>
      </c>
      <c r="P14" s="87" t="n">
        <f aca="false">Schedules!P24</f>
        <v>178972.789003726</v>
      </c>
    </row>
  </sheetData>
  <sheetProtection sheet="true" formatColumns="false" formatRows="false"/>
  <conditionalFormatting sqref="C5:Q14">
    <cfRule type="cellIs" priority="2" operator="notBetween" aboveAverage="0" equalAverage="0" bottom="0" percent="0" rank="0" text="" dxfId="0">
      <formula>-0.01</formula>
      <formula>0.01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2026-10-14T07:40:57Z</dcterms:created>
  <dc:creator>openpyxl</dc:creator>
  <dc:description/>
  <dc:language>en-US</dc:language>
  <cp:lastModifiedBy/>
  <dcterms:modified xsi:type="dcterms:W3CDTF">2026-10-14T04:52:03Z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