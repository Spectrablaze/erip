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info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Schedules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ensitivity" sheetId="11" state="visible" r:id="rId11"/>
  </sheets>
  <definedNames/>
  <calcPr calcId="124519" fullCalcOnLoad="1" iterate="1" iterateCount="200" iterateDelta="1e-06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.000"/>
    <numFmt numFmtId="166" formatCode="0.0%"/>
    <numFmt numFmtId="167" formatCode="0.000"/>
    <numFmt numFmtId="168" formatCode="#,##0.0"/>
  </numFmts>
  <fonts count="19">
    <font>
      <name val="Calibri"/>
      <family val="2"/>
      <color theme="1"/>
      <sz val="11"/>
      <scheme val="minor"/>
    </font>
    <font>
      <b val="1"/>
      <color rgb="FF1F3864"/>
      <sz val="16"/>
    </font>
    <font>
      <i val="1"/>
      <color rgb="FF808080"/>
      <sz val="10"/>
    </font>
    <font>
      <b val="1"/>
      <color rgb="FF1F3864"/>
      <sz val="12"/>
    </font>
    <font>
      <b val="1"/>
      <sz val="10"/>
    </font>
    <font>
      <sz val="10"/>
    </font>
    <font>
      <color rgb="FF000000"/>
      <sz val="10"/>
    </font>
    <font>
      <color rgb="FFC00000"/>
      <sz val="10"/>
    </font>
    <font>
      <b val="1"/>
      <color rgb="FF1F3864"/>
      <sz val="14"/>
    </font>
    <font>
      <b val="1"/>
      <color rgb="FFFFFFFF"/>
      <sz val="10"/>
    </font>
    <font>
      <b val="1"/>
      <color rgb="FF000000"/>
      <sz val="10"/>
    </font>
    <font>
      <b val="1"/>
      <color rgb="FF0000FF"/>
      <sz val="10"/>
    </font>
    <font>
      <b val="1"/>
      <color rgb="FF1F3864"/>
      <sz val="10"/>
    </font>
    <font>
      <b val="1"/>
      <color rgb="FFC00000"/>
      <sz val="10"/>
    </font>
    <font>
      <b val="1"/>
      <color rgb="FF008000"/>
      <sz val="10"/>
    </font>
    <font>
      <color rgb="FF008000"/>
      <sz val="10"/>
    </font>
    <font>
      <color rgb="FF1F3864"/>
      <sz val="10"/>
    </font>
    <font>
      <b val="1"/>
      <color rgb="FF1F3864"/>
      <sz val="11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DE7"/>
      </patternFill>
    </fill>
    <fill>
      <patternFill patternType="solid">
        <fgColor rgb="FFEDEDED"/>
      </patternFill>
    </fill>
    <fill>
      <patternFill patternType="solid">
        <fgColor rgb="FFFFF7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/>
    </xf>
    <xf numFmtId="10" fontId="10" fillId="0" borderId="0" pivotButton="0" quotePrefix="0" xfId="0"/>
    <xf numFmtId="10" fontId="11" fillId="3" borderId="0" pivotButton="0" quotePrefix="0" xfId="0"/>
    <xf numFmtId="164" fontId="10" fillId="0" borderId="0" pivotButton="0" quotePrefix="0" xfId="0"/>
    <xf numFmtId="164" fontId="11" fillId="3" borderId="0" pivotButton="0" quotePrefix="0" xfId="0"/>
    <xf numFmtId="4" fontId="10" fillId="0" borderId="0" pivotButton="0" quotePrefix="0" xfId="0"/>
    <xf numFmtId="4" fontId="11" fillId="3" borderId="0" pivotButton="0" quotePrefix="0" xfId="0"/>
    <xf numFmtId="0" fontId="12" fillId="4" borderId="0" pivotButton="0" quotePrefix="0" xfId="0"/>
    <xf numFmtId="0" fontId="0" fillId="4" borderId="0" pivotButton="0" quotePrefix="0" xfId="0"/>
    <xf numFmtId="4" fontId="10" fillId="5" borderId="0" pivotButton="0" quotePrefix="0" xfId="0"/>
    <xf numFmtId="0" fontId="4" fillId="0" borderId="0" applyAlignment="1" pivotButton="0" quotePrefix="0" xfId="0">
      <alignment indent="1"/>
    </xf>
    <xf numFmtId="164" fontId="10" fillId="5" borderId="0" pivotButton="0" quotePrefix="0" xfId="0"/>
    <xf numFmtId="165" fontId="10" fillId="0" borderId="0" pivotButton="0" quotePrefix="0" xfId="0"/>
    <xf numFmtId="165" fontId="13" fillId="0" borderId="0" pivotButton="0" quotePrefix="0" xfId="0"/>
    <xf numFmtId="4" fontId="0" fillId="0" borderId="0" pivotButton="0" quotePrefix="0" xfId="0"/>
    <xf numFmtId="4" fontId="0" fillId="5" borderId="0" pivotButton="0" quotePrefix="0" xfId="0"/>
    <xf numFmtId="166" fontId="0" fillId="0" borderId="0" pivotButton="0" quotePrefix="0" xfId="0"/>
    <xf numFmtId="166" fontId="0" fillId="5" borderId="0" pivotButton="0" quotePrefix="0" xfId="0"/>
    <xf numFmtId="0" fontId="9" fillId="2" borderId="0" pivotButton="0" quotePrefix="0" xfId="0"/>
    <xf numFmtId="0" fontId="14" fillId="0" borderId="0" pivotButton="0" quotePrefix="0" xfId="0"/>
    <xf numFmtId="166" fontId="15" fillId="0" borderId="0" pivotButton="0" quotePrefix="0" xfId="0"/>
    <xf numFmtId="0" fontId="12" fillId="0" borderId="0" pivotButton="0" quotePrefix="0" xfId="0"/>
    <xf numFmtId="166" fontId="16" fillId="0" borderId="0" pivotButton="0" quotePrefix="0" xfId="0"/>
    <xf numFmtId="0" fontId="13" fillId="0" borderId="0" pivotButton="0" quotePrefix="0" xfId="0"/>
    <xf numFmtId="166" fontId="7" fillId="0" borderId="0" pivotButton="0" quotePrefix="0" xfId="0"/>
    <xf numFmtId="9" fontId="0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10" fontId="5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5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30" customWidth="1" min="2" max="2"/>
    <col width="18" customWidth="1" min="3" max="3"/>
    <col width="18" customWidth="1" min="4" max="4"/>
  </cols>
  <sheetData>
    <row r="1">
      <c r="A1" s="1" t="inlineStr">
        <is>
          <t>Adani Ports and Special Economic Zone Ltd - Three-Statement Model</t>
        </is>
      </c>
    </row>
    <row r="2">
      <c r="A2" s="2" t="inlineStr">
        <is>
          <t>Currency: INR cr | Built: 2026-08-07 | Sector: realestate</t>
        </is>
      </c>
    </row>
    <row r="4">
      <c r="A4" s="3" t="inlineStr">
        <is>
          <t>Model Parameters</t>
        </is>
      </c>
    </row>
    <row r="5">
      <c r="A5" s="4" t="inlineStr">
        <is>
          <t>Company</t>
        </is>
      </c>
      <c r="B5" s="4" t="inlineStr">
        <is>
          <t>Adani Ports and Special Economic Zone Ltd</t>
        </is>
      </c>
    </row>
    <row r="6">
      <c r="A6" s="5" t="inlineStr">
        <is>
          <t>Currency</t>
        </is>
      </c>
      <c r="B6" s="5" t="inlineStr">
        <is>
          <t>INR cr</t>
        </is>
      </c>
    </row>
    <row r="7">
      <c r="A7" s="5" t="inlineStr">
        <is>
          <t>Sector</t>
        </is>
      </c>
      <c r="B7" s="5" t="inlineStr">
        <is>
          <t>realestate</t>
        </is>
      </c>
    </row>
    <row r="8">
      <c r="A8" s="5" t="inlineStr">
        <is>
          <t>History</t>
        </is>
      </c>
      <c r="B8" s="5" t="inlineStr">
        <is>
          <t>Mar-17 - Mar-26 (10 yr)</t>
        </is>
      </c>
    </row>
    <row r="9">
      <c r="A9" s="5" t="inlineStr">
        <is>
          <t>Forecast</t>
        </is>
      </c>
      <c r="B9" s="5" t="inlineStr">
        <is>
          <t>Mar-27E - Mar-31E (5 yr)</t>
        </is>
      </c>
    </row>
    <row r="10">
      <c r="A10" s="5" t="inlineStr">
        <is>
          <t>Depreciation basis</t>
        </is>
      </c>
      <c r="B10" s="5" t="inlineStr">
        <is>
          <t>net_block</t>
        </is>
      </c>
    </row>
    <row r="11">
      <c r="A11" s="5" t="inlineStr">
        <is>
          <t>Circular solve</t>
        </is>
      </c>
      <c r="B11" s="5" t="inlineStr">
        <is>
          <t>5 passes, residual 0.0</t>
        </is>
      </c>
    </row>
    <row r="12">
      <c r="A12" s="5" t="inlineStr">
        <is>
          <t>Checks status</t>
        </is>
      </c>
      <c r="B12" s="5" t="inlineStr">
        <is>
          <t>ALL PASS</t>
        </is>
      </c>
    </row>
    <row r="14">
      <c r="A14" s="3" t="inlineStr">
        <is>
          <t>Integrity Checks</t>
        </is>
      </c>
    </row>
    <row r="15">
      <c r="A15" s="6" t="inlineStr">
        <is>
          <t>OK Total assets less total liabilities and equity (forecast)</t>
        </is>
      </c>
      <c r="B15" t="inlineStr">
        <is>
          <t>blocking</t>
        </is>
      </c>
      <c r="C15" t="n">
        <v>0</v>
      </c>
      <c r="D15" t="inlineStr">
        <is>
          <t>Mar-29E</t>
        </is>
      </c>
    </row>
    <row r="16">
      <c r="A16" s="6" t="inlineStr">
        <is>
          <t>OK Balance sheet cash less cash flow closing cash (forecast)</t>
        </is>
      </c>
      <c r="B16" t="inlineStr">
        <is>
          <t>blocking</t>
        </is>
      </c>
      <c r="C16" t="n">
        <v>0</v>
      </c>
      <c r="D16" t="inlineStr">
        <is>
          <t>Mar-31E</t>
        </is>
      </c>
    </row>
    <row r="17">
      <c r="A17" s="6" t="inlineStr">
        <is>
          <t>OK Reserves roll-forward residual (forecast)</t>
        </is>
      </c>
      <c r="B17" t="inlineStr">
        <is>
          <t>blocking</t>
        </is>
      </c>
      <c r="C17" t="n">
        <v>0</v>
      </c>
      <c r="D17" t="inlineStr">
        <is>
          <t>Mar-31E</t>
        </is>
      </c>
    </row>
    <row r="18">
      <c r="A18" s="6" t="inlineStr">
        <is>
          <t>OK Net block roll-forward residual (forecast)</t>
        </is>
      </c>
      <c r="B18" t="inlineStr">
        <is>
          <t>blocking</t>
        </is>
      </c>
      <c r="C18" t="n">
        <v>0</v>
      </c>
      <c r="D18" t="inlineStr">
        <is>
          <t>Mar-31E</t>
        </is>
      </c>
    </row>
    <row r="19">
      <c r="A19" s="7" t="inlineStr">
        <is>
          <t>FAIL Reserves roll-forward residual (history)</t>
        </is>
      </c>
      <c r="B19" t="inlineStr">
        <is>
          <t>advisory</t>
        </is>
      </c>
      <c r="C19" t="n">
        <v>22582.9</v>
      </c>
      <c r="D19" t="inlineStr">
        <is>
          <t>Mar-26</t>
        </is>
      </c>
    </row>
    <row r="20">
      <c r="A20" s="6" t="inlineStr">
        <is>
          <t>OK Net block roll-forward residual (history)</t>
        </is>
      </c>
      <c r="B20" t="inlineStr">
        <is>
          <t>advisory</t>
        </is>
      </c>
      <c r="C20" t="n">
        <v>0</v>
      </c>
      <c r="D20" t="inlineStr">
        <is>
          <t>Mar-21</t>
        </is>
      </c>
    </row>
    <row r="21">
      <c r="A21" s="6" t="inlineStr">
        <is>
          <t>OK Reconstructed CFO close to reported CFO</t>
        </is>
      </c>
      <c r="B21" t="inlineStr">
        <is>
          <t>advisory</t>
        </is>
      </c>
      <c r="C21" t="n">
        <v>4415.24</v>
      </c>
      <c r="D21" t="inlineStr">
        <is>
          <t>Mar-22</t>
        </is>
      </c>
    </row>
    <row r="22">
      <c r="A22" s="6" t="inlineStr">
        <is>
          <t>OK Cash less the minimum cash balance</t>
        </is>
      </c>
      <c r="B22" t="inlineStr">
        <is>
          <t>blocking</t>
        </is>
      </c>
      <c r="C22" t="n">
        <v>10550.461</v>
      </c>
      <c r="D22" t="inlineStr">
        <is>
          <t>Mar-27E</t>
        </is>
      </c>
    </row>
    <row r="23">
      <c r="A23" s="6" t="inlineStr">
        <is>
          <t>OK Revolver balance</t>
        </is>
      </c>
      <c r="B23" t="inlineStr">
        <is>
          <t>blocking</t>
        </is>
      </c>
      <c r="C23" t="n">
        <v>0</v>
      </c>
      <c r="D23" t="inlineStr">
        <is>
          <t>Mar-27E</t>
        </is>
      </c>
    </row>
    <row r="24">
      <c r="A24" s="6" t="inlineStr">
        <is>
          <t>OK Net block</t>
        </is>
      </c>
      <c r="B24" t="inlineStr">
        <is>
          <t>blocking</t>
        </is>
      </c>
      <c r="C24" t="n">
        <v>138607.4628</v>
      </c>
      <c r="D24" t="inlineStr">
        <is>
          <t>Mar-27E</t>
        </is>
      </c>
    </row>
    <row r="25">
      <c r="A25" s="6" t="inlineStr">
        <is>
          <t>OK Shareholders' equity</t>
        </is>
      </c>
      <c r="B25" t="inlineStr">
        <is>
          <t>blocking</t>
        </is>
      </c>
      <c r="C25" t="n">
        <v>107697.64</v>
      </c>
      <c r="D25" t="inlineStr">
        <is>
          <t>Mar-27E</t>
        </is>
      </c>
    </row>
    <row r="26">
      <c r="A26" s="6" t="inlineStr">
        <is>
          <t>OK Historical balance sheet ties to the source</t>
        </is>
      </c>
      <c r="B26" t="inlineStr">
        <is>
          <t>blocking</t>
        </is>
      </c>
      <c r="C26" t="n">
        <v>0</v>
      </c>
      <c r="D26" t="inlineStr">
        <is>
          <t>Mar-26</t>
        </is>
      </c>
    </row>
    <row r="27">
      <c r="A27" s="6" t="inlineStr">
        <is>
          <t>OK Effective tax rate inside a plausible band</t>
        </is>
      </c>
      <c r="B27" t="inlineStr">
        <is>
          <t>advisory</t>
        </is>
      </c>
      <c r="C27" t="n">
        <v>0</v>
      </c>
      <c r="D27" t="inlineStr">
        <is>
          <t>-</t>
        </is>
      </c>
    </row>
    <row r="28">
      <c r="A28" s="6" t="inlineStr">
        <is>
          <t>OK EBITDA margin inside a plausible band</t>
        </is>
      </c>
      <c r="B28" t="inlineStr">
        <is>
          <t>advisory</t>
        </is>
      </c>
      <c r="C28" t="n">
        <v>0</v>
      </c>
      <c r="D28" t="inlineStr">
        <is>
          <t>-</t>
        </is>
      </c>
    </row>
    <row r="29">
      <c r="A29" s="6" t="inlineStr">
        <is>
          <t>OK Revenue growth inside a plausible band</t>
        </is>
      </c>
      <c r="B29" t="inlineStr">
        <is>
          <t>advisory</t>
        </is>
      </c>
      <c r="C29" t="n">
        <v>0</v>
      </c>
      <c r="D29" t="inlineStr">
        <is>
          <t>-</t>
        </is>
      </c>
    </row>
    <row r="30">
      <c r="A30" s="6" t="inlineStr">
        <is>
          <t>OK Dividend payout inside a plausible band</t>
        </is>
      </c>
      <c r="B30" t="inlineStr">
        <is>
          <t>advisory</t>
        </is>
      </c>
      <c r="C30" t="n">
        <v>0</v>
      </c>
      <c r="D30" t="inlineStr">
        <is>
          <t>-</t>
        </is>
      </c>
    </row>
    <row r="32">
      <c r="A32" s="3" t="inlineStr">
        <is>
          <t>Build Notes</t>
        </is>
      </c>
    </row>
    <row r="33">
      <c r="A33" s="5" t="inlineStr">
        <is>
          <t>- overrides.actuals.payables: period '_page' is not in the historical range, ignored</t>
        </is>
      </c>
    </row>
    <row r="34">
      <c r="A34" s="5" t="inlineStr">
        <is>
          <t>- trade payables supplied from the annual report were netted out of other liabilities so the balance sheet still ties</t>
        </is>
      </c>
    </row>
    <row r="35">
      <c r="A35" s="5" t="inlineStr">
        <is>
          <t>- no gross margin in assumptions.json: set equal to the EBITDA margin, which zeroes the opex line</t>
        </is>
      </c>
    </row>
    <row r="36">
      <c r="A36" s="5" t="inlineStr">
        <is>
          <t>- built against modeling strategy: revenue_model=segment_buildup, modelability=AMBER, decision=APPROVED</t>
        </is>
      </c>
    </row>
    <row r="37">
      <c r="A37" s="5" t="inlineStr">
        <is>
          <t>- block 'derived' not found in the export</t>
        </is>
      </c>
    </row>
    <row r="38">
      <c r="A38" s="5" t="inlineStr">
        <is>
          <t>- block 'price' not found in the export</t>
        </is>
      </c>
    </row>
    <row r="39">
      <c r="A39" s="5" t="inlineStr">
        <is>
          <t>- held at the trailing historical average (no value in assumptions.json or overrides): other_income_pct, dep_pct_nb, cwip_pct_sales, other_ca_pct, other_liab_pct, interest_income_rate, debt_growth, term_debt_repay, equity_issued, payout_ratio, min_cash</t>
        </is>
      </c>
    </row>
    <row r="40">
      <c r="A40" s="5" t="inlineStr">
        <is>
          <t>- not in the source at all, held at zero for every year: exceptional</t>
        </is>
      </c>
    </row>
    <row r="41">
      <c r="A41" s="5" t="inlineStr">
        <is>
          <t>- no actual for 'capex' in Mar-17: set to zero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Adani Ports and Special Economic Zone Ltd - Drivers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4" t="inlineStr">
        <is>
          <t>Revenue growth</t>
        </is>
      </c>
      <c r="B5" s="10" t="n">
        <v>-1</v>
      </c>
    </row>
    <row r="6">
      <c r="C6" s="10" t="n">
        <v>0.341686</v>
      </c>
    </row>
    <row r="7">
      <c r="D7" s="10" t="n">
        <v>-0.035107</v>
      </c>
    </row>
    <row r="8">
      <c r="E8" s="10" t="n">
        <v>0.08673599999999999</v>
      </c>
    </row>
    <row r="9">
      <c r="F9" s="10" t="n">
        <v>0.05698</v>
      </c>
    </row>
    <row r="10">
      <c r="G10" s="10" t="n">
        <v>0.36409</v>
      </c>
    </row>
    <row r="11">
      <c r="H11" s="10" t="n">
        <v>0.218071</v>
      </c>
    </row>
    <row r="12">
      <c r="I12" s="10" t="n">
        <v>0.280965</v>
      </c>
    </row>
    <row r="13">
      <c r="J13" s="10" t="n">
        <v>0.140947</v>
      </c>
    </row>
    <row r="14">
      <c r="K14" s="10" t="n">
        <v>0.271053</v>
      </c>
    </row>
    <row r="15">
      <c r="L15" s="11" t="n">
        <v>0.2139</v>
      </c>
    </row>
    <row r="16">
      <c r="M16" s="11" t="n">
        <v>0.1302</v>
      </c>
    </row>
    <row r="17">
      <c r="N17" s="11" t="n">
        <v>0.1447</v>
      </c>
    </row>
    <row r="18">
      <c r="O18" s="11" t="n">
        <v>0.1481</v>
      </c>
    </row>
    <row r="19">
      <c r="P19" s="11" t="n">
        <v>0.1209</v>
      </c>
    </row>
    <row r="20">
      <c r="A20" s="4" t="inlineStr">
        <is>
          <t>EBITDA margin</t>
        </is>
      </c>
      <c r="B20" s="10" t="n">
        <v>0.64202</v>
      </c>
    </row>
    <row r="21">
      <c r="C21" s="10" t="n">
        <v>0.632049</v>
      </c>
    </row>
    <row r="22">
      <c r="D22" s="10" t="n">
        <v>0.603696</v>
      </c>
    </row>
    <row r="23">
      <c r="E23" s="10" t="n">
        <v>0.500891</v>
      </c>
    </row>
    <row r="24">
      <c r="F24" s="10" t="n">
        <v>0.69229</v>
      </c>
    </row>
    <row r="25">
      <c r="G25" s="10" t="n">
        <v>0.556579</v>
      </c>
    </row>
    <row r="26">
      <c r="H26" s="10" t="n">
        <v>0.524994</v>
      </c>
    </row>
    <row r="27">
      <c r="I27" s="10" t="n">
        <v>0.583642</v>
      </c>
    </row>
    <row r="28">
      <c r="J28" s="10" t="n">
        <v>0.604468</v>
      </c>
    </row>
    <row r="29">
      <c r="K29" s="10" t="n">
        <v>0.590364</v>
      </c>
    </row>
    <row r="30">
      <c r="L30" s="11" t="n">
        <v>0.585</v>
      </c>
    </row>
    <row r="31">
      <c r="M31" s="11" t="n">
        <v>0.58</v>
      </c>
    </row>
    <row r="32">
      <c r="N32" s="11" t="n">
        <v>0.575</v>
      </c>
    </row>
    <row r="33">
      <c r="O33" s="11" t="n">
        <v>0.57</v>
      </c>
    </row>
    <row r="34">
      <c r="P34" s="11" t="n">
        <v>0.5649999999999999</v>
      </c>
    </row>
    <row r="35">
      <c r="A35" s="4" t="inlineStr">
        <is>
          <t>Gross margin</t>
        </is>
      </c>
      <c r="B35" s="10" t="n">
        <v>0.7372840000000001</v>
      </c>
    </row>
    <row r="36">
      <c r="C36" s="10" t="n">
        <v>0.70983</v>
      </c>
    </row>
    <row r="37">
      <c r="D37" s="10" t="n">
        <v>0.74169</v>
      </c>
    </row>
    <row r="38">
      <c r="E38" s="10" t="n">
        <v>0.733278</v>
      </c>
    </row>
    <row r="39">
      <c r="F39" s="10" t="n">
        <v>0.734693</v>
      </c>
    </row>
    <row r="40">
      <c r="G40" s="10" t="n">
        <v>0.711047</v>
      </c>
    </row>
    <row r="41">
      <c r="H41" s="10" t="n">
        <v>0.723397</v>
      </c>
    </row>
    <row r="42">
      <c r="I42" s="10" t="n">
        <v>0.727576</v>
      </c>
    </row>
    <row r="43">
      <c r="J43" s="10" t="n">
        <v>0.728599</v>
      </c>
    </row>
    <row r="44">
      <c r="K44" s="10" t="n">
        <v>0.702268</v>
      </c>
    </row>
    <row r="45">
      <c r="L45" s="11" t="n">
        <v>0.702</v>
      </c>
    </row>
    <row r="46">
      <c r="M46" s="11" t="n">
        <v>0.702</v>
      </c>
    </row>
    <row r="47">
      <c r="N47" s="11" t="n">
        <v>0.702</v>
      </c>
    </row>
    <row r="48">
      <c r="O48" s="11" t="n">
        <v>0.702</v>
      </c>
    </row>
    <row r="49">
      <c r="P49" s="11" t="n">
        <v>0.702</v>
      </c>
    </row>
    <row r="50">
      <c r="A50" s="4" t="inlineStr">
        <is>
          <t>Other income (% sales)</t>
        </is>
      </c>
      <c r="B50" s="10" t="n">
        <v>0.122826</v>
      </c>
    </row>
    <row r="51">
      <c r="C51" s="10" t="n">
        <v>0.074582</v>
      </c>
    </row>
    <row r="52">
      <c r="D52" s="10" t="n">
        <v>0.118004</v>
      </c>
    </row>
    <row r="53">
      <c r="E53" s="10" t="n">
        <v>0.162362</v>
      </c>
    </row>
    <row r="54">
      <c r="F54" s="10" t="n">
        <v>0.156713</v>
      </c>
    </row>
    <row r="55">
      <c r="G55" s="10" t="n">
        <v>0.10704</v>
      </c>
    </row>
    <row r="56">
      <c r="H56" s="10" t="n">
        <v>0.015687</v>
      </c>
    </row>
    <row r="57">
      <c r="I57" s="10" t="n">
        <v>0.025105</v>
      </c>
    </row>
    <row r="58">
      <c r="J58" s="10" t="n">
        <v>0.059059</v>
      </c>
    </row>
    <row r="59">
      <c r="K59" s="10" t="n">
        <v>0.055549</v>
      </c>
    </row>
    <row r="60">
      <c r="L60" s="11" t="n">
        <v>0.046571</v>
      </c>
    </row>
    <row r="61">
      <c r="M61" s="11" t="n">
        <v>0.046571</v>
      </c>
    </row>
    <row r="62">
      <c r="N62" s="11" t="n">
        <v>0.046571</v>
      </c>
    </row>
    <row r="63">
      <c r="O63" s="11" t="n">
        <v>0.046571</v>
      </c>
    </row>
    <row r="64">
      <c r="P64" s="11" t="n">
        <v>0.046571</v>
      </c>
    </row>
    <row r="65">
      <c r="A65" s="4" t="inlineStr">
        <is>
          <t>Capex (% sales)</t>
        </is>
      </c>
      <c r="B65" s="10" t="n">
        <v>0</v>
      </c>
    </row>
    <row r="66">
      <c r="C66" s="10" t="n">
        <v>0.247716</v>
      </c>
    </row>
    <row r="67">
      <c r="D67" s="10" t="n">
        <v>0.624679</v>
      </c>
    </row>
    <row r="68">
      <c r="E68" s="10" t="n">
        <v>0.52837</v>
      </c>
    </row>
    <row r="69">
      <c r="F69" s="10" t="n">
        <v>1.409112</v>
      </c>
    </row>
    <row r="70">
      <c r="G70" s="10" t="n">
        <v>1.014164</v>
      </c>
    </row>
    <row r="71">
      <c r="H71" s="10" t="n">
        <v>0.6280250000000001</v>
      </c>
    </row>
    <row r="72">
      <c r="I72" s="10" t="n">
        <v>0.25505</v>
      </c>
    </row>
    <row r="73">
      <c r="J73" s="10" t="n">
        <v>0.618449</v>
      </c>
    </row>
    <row r="74">
      <c r="K74" s="10" t="n">
        <v>1.227639</v>
      </c>
    </row>
    <row r="75">
      <c r="L75" s="11" t="n">
        <v>0.31</v>
      </c>
    </row>
    <row r="76">
      <c r="M76" s="11" t="n">
        <v>0.3</v>
      </c>
    </row>
    <row r="77">
      <c r="N77" s="11" t="n">
        <v>0.29</v>
      </c>
    </row>
    <row r="78">
      <c r="O78" s="11" t="n">
        <v>0.28</v>
      </c>
    </row>
    <row r="79">
      <c r="P79" s="11" t="n">
        <v>0.26</v>
      </c>
    </row>
    <row r="80">
      <c r="A80" s="4" t="inlineStr">
        <is>
          <t>Depreciation (% opening NB)</t>
        </is>
      </c>
      <c r="B80" s="10" t="n">
        <v>0</v>
      </c>
    </row>
    <row r="81">
      <c r="C81" s="10" t="n">
        <v>0.056445</v>
      </c>
    </row>
    <row r="82">
      <c r="D82" s="10" t="n">
        <v>0.060586</v>
      </c>
    </row>
    <row r="83">
      <c r="E83" s="10" t="n">
        <v>0.059751</v>
      </c>
    </row>
    <row r="84">
      <c r="F84" s="10" t="n">
        <v>0.064416</v>
      </c>
    </row>
    <row r="85">
      <c r="G85" s="10" t="n">
        <v>0.06418</v>
      </c>
    </row>
    <row r="86">
      <c r="H86" s="10" t="n">
        <v>0.054749</v>
      </c>
    </row>
    <row r="87">
      <c r="I87" s="10" t="n">
        <v>0.053839</v>
      </c>
    </row>
    <row r="88">
      <c r="J88" s="10" t="n">
        <v>0.058271</v>
      </c>
    </row>
    <row r="89">
      <c r="K89" s="10" t="n">
        <v>0.061567</v>
      </c>
    </row>
    <row r="90">
      <c r="L90" s="11" t="n">
        <v>0.057892</v>
      </c>
    </row>
    <row r="91">
      <c r="M91" s="11" t="n">
        <v>0.057892</v>
      </c>
    </row>
    <row r="92">
      <c r="N92" s="11" t="n">
        <v>0.057892</v>
      </c>
    </row>
    <row r="93">
      <c r="O93" s="11" t="n">
        <v>0.057892</v>
      </c>
    </row>
    <row r="94">
      <c r="P94" s="11" t="n">
        <v>0.057892</v>
      </c>
    </row>
    <row r="95">
      <c r="A95" s="4" t="inlineStr">
        <is>
          <t>Depreciation (% sales)</t>
        </is>
      </c>
      <c r="B95" s="10" t="n">
        <v>0.137474</v>
      </c>
    </row>
    <row r="96">
      <c r="C96" s="10" t="n">
        <v>0.104952</v>
      </c>
    </row>
    <row r="97">
      <c r="D97" s="10" t="n">
        <v>0.125714</v>
      </c>
    </row>
    <row r="98">
      <c r="E98" s="10" t="n">
        <v>0.14152</v>
      </c>
    </row>
    <row r="99">
      <c r="F99" s="10" t="n">
        <v>0.167921</v>
      </c>
    </row>
    <row r="100">
      <c r="G100" s="10" t="n">
        <v>0.181047</v>
      </c>
    </row>
    <row r="101">
      <c r="H101" s="10" t="n">
        <v>0.16424</v>
      </c>
    </row>
    <row r="102">
      <c r="I102" s="10" t="n">
        <v>0.145578</v>
      </c>
    </row>
    <row r="103">
      <c r="J103" s="10" t="n">
        <v>0.143688</v>
      </c>
    </row>
    <row r="104">
      <c r="K104" s="10" t="n">
        <v>0.142436</v>
      </c>
    </row>
    <row r="105">
      <c r="L105" s="11" t="n">
        <v>0.145</v>
      </c>
    </row>
    <row r="106">
      <c r="M106" s="11" t="n">
        <v>0.145</v>
      </c>
    </row>
    <row r="107">
      <c r="N107" s="11" t="n">
        <v>0.148</v>
      </c>
    </row>
    <row r="108">
      <c r="O108" s="11" t="n">
        <v>0.15</v>
      </c>
    </row>
    <row r="109">
      <c r="P109" s="11" t="n">
        <v>0.152</v>
      </c>
    </row>
    <row r="110">
      <c r="A110" s="4" t="inlineStr">
        <is>
          <t>CWIP (% sales)</t>
        </is>
      </c>
      <c r="B110" s="10" t="n">
        <v>0.534872</v>
      </c>
    </row>
    <row r="111">
      <c r="C111" s="10" t="n">
        <v>0.401437</v>
      </c>
    </row>
    <row r="112">
      <c r="D112" s="10" t="n">
        <v>0.410371</v>
      </c>
    </row>
    <row r="113">
      <c r="E113" s="10" t="n">
        <v>0.270893</v>
      </c>
    </row>
    <row r="114">
      <c r="F114" s="10" t="n">
        <v>0.294601</v>
      </c>
    </row>
    <row r="115">
      <c r="G115" s="10" t="n">
        <v>0.234999</v>
      </c>
    </row>
    <row r="116">
      <c r="H116" s="10" t="n">
        <v>0.318281</v>
      </c>
    </row>
    <row r="117">
      <c r="I117" s="10" t="n">
        <v>0.409429</v>
      </c>
    </row>
    <row r="118">
      <c r="J118" s="10" t="n">
        <v>0.384117</v>
      </c>
    </row>
    <row r="119">
      <c r="K119" s="10" t="n">
        <v>0.32758</v>
      </c>
    </row>
    <row r="120">
      <c r="L120" s="11" t="n">
        <v>0.373709</v>
      </c>
    </row>
    <row r="121">
      <c r="M121" s="11" t="n">
        <v>0.373709</v>
      </c>
    </row>
    <row r="122">
      <c r="N122" s="11" t="n">
        <v>0.373709</v>
      </c>
    </row>
    <row r="123">
      <c r="O123" s="11" t="n">
        <v>0.373709</v>
      </c>
    </row>
    <row r="124">
      <c r="P124" s="11" t="n">
        <v>0.373709</v>
      </c>
    </row>
    <row r="125">
      <c r="A125" s="4" t="inlineStr">
        <is>
          <t>Receivable days</t>
        </is>
      </c>
      <c r="B125" s="12" t="n">
        <v>116.471215</v>
      </c>
    </row>
    <row r="126">
      <c r="C126" s="12" t="n">
        <v>138.931618</v>
      </c>
    </row>
    <row r="127">
      <c r="D127" s="12" t="n">
        <v>93.19770200000001</v>
      </c>
    </row>
    <row r="128">
      <c r="E128" s="12" t="n">
        <v>98.439671</v>
      </c>
    </row>
    <row r="129">
      <c r="F129" s="12" t="n">
        <v>85.09308299999999</v>
      </c>
    </row>
    <row r="130">
      <c r="G130" s="12" t="n">
        <v>53.75474</v>
      </c>
    </row>
    <row r="131">
      <c r="H131" s="12" t="n">
        <v>69.266103</v>
      </c>
    </row>
    <row r="132">
      <c r="I132" s="12" t="n">
        <v>50.108762</v>
      </c>
    </row>
    <row r="133">
      <c r="J133" s="12" t="n">
        <v>53.085935</v>
      </c>
    </row>
    <row r="134">
      <c r="K134" s="12" t="n">
        <v>60.141495</v>
      </c>
    </row>
    <row r="135">
      <c r="L135" s="13" t="n">
        <v>58</v>
      </c>
    </row>
    <row r="136">
      <c r="M136" s="13" t="n">
        <v>58</v>
      </c>
    </row>
    <row r="137">
      <c r="N137" s="13" t="n">
        <v>58</v>
      </c>
    </row>
    <row r="138">
      <c r="O138" s="13" t="n">
        <v>58</v>
      </c>
    </row>
    <row r="139">
      <c r="P139" s="13" t="n">
        <v>58</v>
      </c>
    </row>
    <row r="140">
      <c r="A140" s="4" t="inlineStr">
        <is>
          <t>Inventory days</t>
        </is>
      </c>
      <c r="B140" s="12" t="n">
        <v>108.17394</v>
      </c>
    </row>
    <row r="141">
      <c r="C141" s="12" t="n">
        <v>57.799795</v>
      </c>
    </row>
    <row r="142">
      <c r="D142" s="12" t="n">
        <v>104.331166</v>
      </c>
    </row>
    <row r="143">
      <c r="E143" s="12" t="n">
        <v>33.226559</v>
      </c>
    </row>
    <row r="144">
      <c r="F144" s="12" t="n">
        <v>108.732618</v>
      </c>
    </row>
    <row r="145">
      <c r="G145" s="12" t="n">
        <v>29.19392</v>
      </c>
    </row>
    <row r="146">
      <c r="H146" s="12" t="n">
        <v>28.602224</v>
      </c>
    </row>
    <row r="147">
      <c r="I147" s="12" t="n">
        <v>21.945847</v>
      </c>
    </row>
    <row r="148">
      <c r="J148" s="12" t="n">
        <v>23.026999</v>
      </c>
    </row>
    <row r="149">
      <c r="K149" s="12" t="n">
        <v>21.67932</v>
      </c>
    </row>
    <row r="150">
      <c r="L150" s="13" t="n">
        <v>21.7</v>
      </c>
    </row>
    <row r="151">
      <c r="M151" s="13" t="n">
        <v>21.7</v>
      </c>
    </row>
    <row r="152">
      <c r="N152" s="13" t="n">
        <v>21.7</v>
      </c>
    </row>
    <row r="153">
      <c r="O153" s="13" t="n">
        <v>21.7</v>
      </c>
    </row>
    <row r="154">
      <c r="P154" s="13" t="n">
        <v>21.7</v>
      </c>
    </row>
    <row r="155">
      <c r="A155" s="4" t="inlineStr">
        <is>
          <t>Payable days</t>
        </is>
      </c>
      <c r="B155" s="12" t="n">
        <v>0</v>
      </c>
    </row>
    <row r="156">
      <c r="C156" s="12" t="n">
        <v>0</v>
      </c>
    </row>
    <row r="157">
      <c r="D157" s="12" t="n">
        <v>0</v>
      </c>
    </row>
    <row r="158">
      <c r="E158" s="12" t="n">
        <v>0</v>
      </c>
    </row>
    <row r="159">
      <c r="F159" s="12" t="n">
        <v>0</v>
      </c>
    </row>
    <row r="160">
      <c r="G160" s="12" t="n">
        <v>0</v>
      </c>
    </row>
    <row r="161">
      <c r="H161" s="12" t="n">
        <v>0</v>
      </c>
    </row>
    <row r="162">
      <c r="I162" s="12" t="n">
        <v>0</v>
      </c>
    </row>
    <row r="163">
      <c r="J163" s="12" t="n">
        <v>120.055483</v>
      </c>
    </row>
    <row r="164">
      <c r="K164" s="12" t="n">
        <v>86.598282</v>
      </c>
    </row>
    <row r="165">
      <c r="L165" s="13" t="n">
        <v>86.59999999999999</v>
      </c>
    </row>
    <row r="166">
      <c r="M166" s="13" t="n">
        <v>86.59999999999999</v>
      </c>
    </row>
    <row r="167">
      <c r="N167" s="13" t="n">
        <v>86.59999999999999</v>
      </c>
    </row>
    <row r="168">
      <c r="O168" s="13" t="n">
        <v>86.59999999999999</v>
      </c>
    </row>
    <row r="169">
      <c r="P169" s="13" t="n">
        <v>86.59999999999999</v>
      </c>
    </row>
    <row r="170">
      <c r="A170" s="4" t="inlineStr">
        <is>
          <t>Effective tax rate</t>
        </is>
      </c>
      <c r="B170" s="10" t="n">
        <v>0.06397700000000001</v>
      </c>
    </row>
    <row r="171">
      <c r="C171" s="10" t="n">
        <v>0.298141</v>
      </c>
    </row>
    <row r="172">
      <c r="D172" s="10" t="n">
        <v>0.221606</v>
      </c>
    </row>
    <row r="173">
      <c r="E173" s="10" t="n">
        <v>0.113289</v>
      </c>
    </row>
    <row r="174">
      <c r="F174" s="10" t="n">
        <v>0.206247</v>
      </c>
    </row>
    <row r="175">
      <c r="G175" s="10" t="n">
        <v>0.145372</v>
      </c>
    </row>
    <row r="176">
      <c r="H176" s="10" t="n">
        <v>0.032448</v>
      </c>
    </row>
    <row r="177">
      <c r="I177" s="10" t="n">
        <v>0.158522</v>
      </c>
    </row>
    <row r="178">
      <c r="J178" s="10" t="n">
        <v>0.148685</v>
      </c>
    </row>
    <row r="179">
      <c r="K179" s="10" t="n">
        <v>0.137545</v>
      </c>
    </row>
    <row r="180">
      <c r="L180" s="11" t="n">
        <v>0.185</v>
      </c>
    </row>
    <row r="181">
      <c r="M181" s="11" t="n">
        <v>0.185</v>
      </c>
    </row>
    <row r="182">
      <c r="N182" s="11" t="n">
        <v>0.185</v>
      </c>
    </row>
    <row r="183">
      <c r="O183" s="11" t="n">
        <v>0.185</v>
      </c>
    </row>
    <row r="184">
      <c r="P184" s="11" t="n">
        <v>0.185</v>
      </c>
    </row>
    <row r="185">
      <c r="A185" s="4" t="inlineStr">
        <is>
          <t>Interest rate on debt</t>
        </is>
      </c>
      <c r="B185" s="10" t="n">
        <v>0.100453</v>
      </c>
    </row>
    <row r="186">
      <c r="C186" s="10" t="n">
        <v>0.070817</v>
      </c>
    </row>
    <row r="187">
      <c r="D187" s="10" t="n">
        <v>0.055317</v>
      </c>
    </row>
    <row r="188">
      <c r="E188" s="10" t="n">
        <v>0.067317</v>
      </c>
    </row>
    <row r="189">
      <c r="F189" s="10" t="n">
        <v>0.068241</v>
      </c>
    </row>
    <row r="190">
      <c r="G190" s="10" t="n">
        <v>0.060721</v>
      </c>
    </row>
    <row r="191">
      <c r="H191" s="10" t="n">
        <v>0.046615</v>
      </c>
    </row>
    <row r="192">
      <c r="I192" s="10" t="n">
        <v>0.053116</v>
      </c>
    </row>
    <row r="193">
      <c r="J193" s="10" t="n">
        <v>0.055646</v>
      </c>
    </row>
    <row r="194">
      <c r="K194" s="10" t="n">
        <v>0.080808</v>
      </c>
    </row>
    <row r="195">
      <c r="L195" s="11" t="n">
        <v>0.08</v>
      </c>
    </row>
    <row r="196">
      <c r="M196" s="11" t="n">
        <v>0.08</v>
      </c>
    </row>
    <row r="197">
      <c r="N197" s="11" t="n">
        <v>0.08</v>
      </c>
    </row>
    <row r="198">
      <c r="O198" s="11" t="n">
        <v>0.08</v>
      </c>
    </row>
    <row r="199">
      <c r="P199" s="11" t="n">
        <v>0.08</v>
      </c>
    </row>
    <row r="200">
      <c r="A200" s="4" t="inlineStr">
        <is>
          <t>Yield on cash</t>
        </is>
      </c>
      <c r="B200" s="10" t="n">
        <v>0</v>
      </c>
    </row>
    <row r="201">
      <c r="C201" s="10" t="n">
        <v>0</v>
      </c>
    </row>
    <row r="202">
      <c r="D202" s="10" t="n">
        <v>0</v>
      </c>
    </row>
    <row r="203">
      <c r="E203" s="10" t="n">
        <v>0</v>
      </c>
    </row>
    <row r="204">
      <c r="F204" s="10" t="n">
        <v>0</v>
      </c>
    </row>
    <row r="205">
      <c r="G205" s="10" t="n">
        <v>0</v>
      </c>
    </row>
    <row r="206">
      <c r="H206" s="10" t="n">
        <v>0</v>
      </c>
    </row>
    <row r="207">
      <c r="I207" s="10" t="n">
        <v>0</v>
      </c>
    </row>
    <row r="208">
      <c r="J208" s="10" t="n">
        <v>0</v>
      </c>
    </row>
    <row r="209">
      <c r="K209" s="10" t="n">
        <v>0</v>
      </c>
    </row>
    <row r="210">
      <c r="L210" s="11" t="n">
        <v>0</v>
      </c>
    </row>
    <row r="211">
      <c r="M211" s="11" t="n">
        <v>0</v>
      </c>
    </row>
    <row r="212">
      <c r="N212" s="11" t="n">
        <v>0</v>
      </c>
    </row>
    <row r="213">
      <c r="O213" s="11" t="n">
        <v>0</v>
      </c>
    </row>
    <row r="214">
      <c r="P214" s="11" t="n">
        <v>0</v>
      </c>
    </row>
    <row r="215">
      <c r="A215" s="4" t="inlineStr">
        <is>
          <t>Term debt growth</t>
        </is>
      </c>
      <c r="B215" s="10" t="n">
        <v>-1</v>
      </c>
    </row>
    <row r="216">
      <c r="C216" s="10" t="n">
        <v>0.007013</v>
      </c>
    </row>
    <row r="217">
      <c r="D217" s="10" t="n">
        <v>0.238779</v>
      </c>
    </row>
    <row r="218">
      <c r="E218" s="10" t="n">
        <v>0.091326</v>
      </c>
    </row>
    <row r="219">
      <c r="F219" s="10" t="n">
        <v>0.185601</v>
      </c>
    </row>
    <row r="220">
      <c r="G220" s="10" t="n">
        <v>0.336893</v>
      </c>
    </row>
    <row r="221">
      <c r="H221" s="10" t="n">
        <v>0.114728</v>
      </c>
    </row>
    <row r="222">
      <c r="I222" s="10" t="n">
        <v>-0.074184</v>
      </c>
    </row>
    <row r="223">
      <c r="J223" s="10" t="n">
        <v>0.04347</v>
      </c>
    </row>
    <row r="224">
      <c r="K224" s="10" t="n">
        <v>0.231395</v>
      </c>
    </row>
    <row r="225">
      <c r="L225" s="11" t="n">
        <v>0.066894</v>
      </c>
    </row>
    <row r="226">
      <c r="M226" s="11" t="n">
        <v>0.066894</v>
      </c>
    </row>
    <row r="227">
      <c r="N227" s="11" t="n">
        <v>0.066894</v>
      </c>
    </row>
    <row r="228">
      <c r="O228" s="11" t="n">
        <v>0.066894</v>
      </c>
    </row>
    <row r="229">
      <c r="P229" s="11" t="n">
        <v>0.066894</v>
      </c>
    </row>
    <row r="230">
      <c r="A230" s="4" t="inlineStr">
        <is>
          <t>Scheduled debt repayment</t>
        </is>
      </c>
      <c r="B230" s="14" t="n">
        <v>0</v>
      </c>
    </row>
    <row r="231">
      <c r="C231" s="14" t="n">
        <v>0</v>
      </c>
    </row>
    <row r="232">
      <c r="D232" s="14" t="n">
        <v>0</v>
      </c>
    </row>
    <row r="233">
      <c r="E233" s="14" t="n">
        <v>0</v>
      </c>
    </row>
    <row r="234">
      <c r="F234" s="14" t="n">
        <v>0</v>
      </c>
    </row>
    <row r="235">
      <c r="G235" s="14" t="n">
        <v>0</v>
      </c>
    </row>
    <row r="236">
      <c r="H236" s="14" t="n">
        <v>0</v>
      </c>
    </row>
    <row r="237">
      <c r="I237" s="14" t="n">
        <v>0</v>
      </c>
    </row>
    <row r="238">
      <c r="J238" s="14" t="n">
        <v>0</v>
      </c>
    </row>
    <row r="239">
      <c r="K239" s="14" t="n">
        <v>0</v>
      </c>
    </row>
    <row r="240">
      <c r="L240" s="15" t="n">
        <v>0</v>
      </c>
    </row>
    <row r="241">
      <c r="M241" s="15" t="n">
        <v>0</v>
      </c>
    </row>
    <row r="242">
      <c r="N242" s="15" t="n">
        <v>0</v>
      </c>
    </row>
    <row r="243">
      <c r="O243" s="15" t="n">
        <v>0</v>
      </c>
    </row>
    <row r="244">
      <c r="P244" s="15" t="n">
        <v>0</v>
      </c>
    </row>
    <row r="245">
      <c r="A245" s="4" t="inlineStr">
        <is>
          <t>Equity issued</t>
        </is>
      </c>
      <c r="B245" s="14" t="n">
        <v>0</v>
      </c>
    </row>
    <row r="246">
      <c r="C246" s="14" t="n">
        <v>0</v>
      </c>
    </row>
    <row r="247">
      <c r="D247" s="14" t="n">
        <v>0</v>
      </c>
    </row>
    <row r="248">
      <c r="E248" s="14" t="n">
        <v>0</v>
      </c>
    </row>
    <row r="249">
      <c r="F249" s="14" t="n">
        <v>0</v>
      </c>
    </row>
    <row r="250">
      <c r="G250" s="14" t="n">
        <v>0</v>
      </c>
    </row>
    <row r="251">
      <c r="H251" s="14" t="n">
        <v>0</v>
      </c>
    </row>
    <row r="252">
      <c r="I252" s="14" t="n">
        <v>0</v>
      </c>
    </row>
    <row r="253">
      <c r="J253" s="14" t="n">
        <v>0</v>
      </c>
    </row>
    <row r="254">
      <c r="K254" s="14" t="n">
        <v>0</v>
      </c>
    </row>
    <row r="255">
      <c r="L255" s="15" t="n">
        <v>0</v>
      </c>
    </row>
    <row r="256">
      <c r="M256" s="15" t="n">
        <v>0</v>
      </c>
    </row>
    <row r="257">
      <c r="N257" s="15" t="n">
        <v>0</v>
      </c>
    </row>
    <row r="258">
      <c r="O258" s="15" t="n">
        <v>0</v>
      </c>
    </row>
    <row r="259">
      <c r="P259" s="15" t="n">
        <v>0</v>
      </c>
    </row>
    <row r="260">
      <c r="A260" s="4" t="inlineStr">
        <is>
          <t>Dividend payout</t>
        </is>
      </c>
      <c r="B260" s="10" t="n">
        <v>0.068827</v>
      </c>
    </row>
    <row r="261">
      <c r="C261" s="10" t="n">
        <v>0.112747</v>
      </c>
    </row>
    <row r="262">
      <c r="D262" s="10" t="n">
        <v>0.01038</v>
      </c>
    </row>
    <row r="263">
      <c r="E263" s="10" t="n">
        <v>0.172771</v>
      </c>
    </row>
    <row r="264">
      <c r="F264" s="10" t="n">
        <v>0.203408</v>
      </c>
    </row>
    <row r="265">
      <c r="G265" s="10" t="n">
        <v>0.216163</v>
      </c>
    </row>
    <row r="266">
      <c r="H266" s="10" t="n">
        <v>0.203449</v>
      </c>
    </row>
    <row r="267">
      <c r="I267" s="10" t="n">
        <v>0.159801</v>
      </c>
    </row>
    <row r="268">
      <c r="J268" s="10" t="n">
        <v>0.13632</v>
      </c>
    </row>
    <row r="269">
      <c r="K269" s="10" t="n">
        <v>0.134931</v>
      </c>
    </row>
    <row r="270">
      <c r="L270" s="11" t="n">
        <v>0.143684</v>
      </c>
    </row>
    <row r="271">
      <c r="M271" s="11" t="n">
        <v>0.143684</v>
      </c>
    </row>
    <row r="272">
      <c r="N272" s="11" t="n">
        <v>0.143684</v>
      </c>
    </row>
    <row r="273">
      <c r="O273" s="11" t="n">
        <v>0.143684</v>
      </c>
    </row>
    <row r="274">
      <c r="P274" s="11" t="n">
        <v>0.143684</v>
      </c>
    </row>
    <row r="275">
      <c r="A275" s="4" t="inlineStr">
        <is>
          <t>Minimum cash balance</t>
        </is>
      </c>
      <c r="B275" s="14" t="n">
        <v>0</v>
      </c>
    </row>
    <row r="276">
      <c r="C276" s="14" t="n">
        <v>0</v>
      </c>
    </row>
    <row r="277">
      <c r="D277" s="14" t="n">
        <v>0</v>
      </c>
    </row>
    <row r="278">
      <c r="E278" s="14" t="n">
        <v>0</v>
      </c>
    </row>
    <row r="279">
      <c r="F279" s="14" t="n">
        <v>0</v>
      </c>
    </row>
    <row r="280">
      <c r="G280" s="14" t="n">
        <v>0</v>
      </c>
    </row>
    <row r="281">
      <c r="H281" s="14" t="n">
        <v>0</v>
      </c>
    </row>
    <row r="282">
      <c r="I282" s="14" t="n">
        <v>0</v>
      </c>
    </row>
    <row r="283">
      <c r="J283" s="14" t="n">
        <v>0</v>
      </c>
    </row>
    <row r="284">
      <c r="K284" s="14" t="n">
        <v>0</v>
      </c>
    </row>
    <row r="285">
      <c r="L285" s="15" t="n">
        <v>0</v>
      </c>
    </row>
    <row r="286">
      <c r="M286" s="15" t="n">
        <v>0</v>
      </c>
    </row>
    <row r="287">
      <c r="N287" s="15" t="n">
        <v>0</v>
      </c>
    </row>
    <row r="288">
      <c r="O288" s="15" t="n">
        <v>0</v>
      </c>
    </row>
    <row r="289">
      <c r="P289" s="15" t="n">
        <v>0</v>
      </c>
    </row>
    <row r="290">
      <c r="A290" s="4" t="inlineStr">
        <is>
          <t>Other CA (% sales)</t>
        </is>
      </c>
      <c r="B290" s="10" t="n">
        <v>1.340584</v>
      </c>
    </row>
    <row r="291">
      <c r="C291" s="10" t="n">
        <v>0.983893</v>
      </c>
    </row>
    <row r="292">
      <c r="D292" s="10" t="n">
        <v>1.222888</v>
      </c>
    </row>
    <row r="293">
      <c r="E293" s="10" t="n">
        <v>1.179441</v>
      </c>
    </row>
    <row r="294">
      <c r="F294" s="10" t="n">
        <v>0.935436</v>
      </c>
    </row>
    <row r="295">
      <c r="G295" s="10" t="n">
        <v>0.876653</v>
      </c>
    </row>
    <row r="296">
      <c r="H296" s="10" t="n">
        <v>0.84058</v>
      </c>
    </row>
    <row r="297">
      <c r="I297" s="10" t="n">
        <v>0.557469</v>
      </c>
    </row>
    <row r="298">
      <c r="J298" s="10" t="n">
        <v>0.521755</v>
      </c>
    </row>
    <row r="299">
      <c r="K299" s="10" t="n">
        <v>0.458421</v>
      </c>
    </row>
    <row r="300">
      <c r="L300" s="11" t="n">
        <v>0.512548</v>
      </c>
    </row>
    <row r="301">
      <c r="M301" s="11" t="n">
        <v>0.512548</v>
      </c>
    </row>
    <row r="302">
      <c r="N302" s="11" t="n">
        <v>0.512548</v>
      </c>
    </row>
    <row r="303">
      <c r="O303" s="11" t="n">
        <v>0.512548</v>
      </c>
    </row>
    <row r="304">
      <c r="P304" s="11" t="n">
        <v>0.512548</v>
      </c>
    </row>
    <row r="305">
      <c r="A305" s="4" t="inlineStr">
        <is>
          <t>Other liabilities (% sales)</t>
        </is>
      </c>
      <c r="B305" s="10" t="n">
        <v>0.430025</v>
      </c>
    </row>
    <row r="306">
      <c r="C306" s="10" t="n">
        <v>0.349708</v>
      </c>
    </row>
    <row r="307">
      <c r="D307" s="10" t="n">
        <v>0.386947</v>
      </c>
    </row>
    <row r="308">
      <c r="E308" s="10" t="n">
        <v>0.523657</v>
      </c>
    </row>
    <row r="309">
      <c r="F309" s="10" t="n">
        <v>0.66017</v>
      </c>
    </row>
    <row r="310">
      <c r="G310" s="10" t="n">
        <v>0.50071</v>
      </c>
    </row>
    <row r="311">
      <c r="H311" s="10" t="n">
        <v>0.6589120000000001</v>
      </c>
    </row>
    <row r="312">
      <c r="I312" s="10" t="n">
        <v>0.552243</v>
      </c>
    </row>
    <row r="313">
      <c r="J313" s="10" t="n">
        <v>0.552334</v>
      </c>
    </row>
    <row r="314">
      <c r="K314" s="10" t="n">
        <v>0.537952</v>
      </c>
    </row>
    <row r="315">
      <c r="L315" s="11" t="n">
        <v>0.5475100000000001</v>
      </c>
    </row>
    <row r="316">
      <c r="M316" s="11" t="n">
        <v>0.5475100000000001</v>
      </c>
    </row>
    <row r="317">
      <c r="N317" s="11" t="n">
        <v>0.5475100000000001</v>
      </c>
    </row>
    <row r="318">
      <c r="O318" s="11" t="n">
        <v>0.5475100000000001</v>
      </c>
    </row>
    <row r="319">
      <c r="P319" s="11" t="n">
        <v>0.5475100000000001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Adani Ports and Special Economic Zone Ltd - Income Statement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16" t="inlineStr">
        <is>
          <t>INCOME STATEMENT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</row>
    <row r="6">
      <c r="A6" s="4" t="inlineStr">
        <is>
          <t>Revenue</t>
        </is>
      </c>
      <c r="B6" s="14" t="n">
        <v>8439.35</v>
      </c>
    </row>
    <row r="7">
      <c r="C7" s="14" t="n">
        <v>11322.96</v>
      </c>
    </row>
    <row r="8">
      <c r="D8" s="14" t="n">
        <v>10925.44</v>
      </c>
    </row>
    <row r="9">
      <c r="E9" s="14" t="n">
        <v>11873.07</v>
      </c>
    </row>
    <row r="10">
      <c r="F10" s="14" t="n">
        <v>12549.6</v>
      </c>
    </row>
    <row r="11">
      <c r="G11" s="14" t="n">
        <v>17118.79</v>
      </c>
    </row>
    <row r="12">
      <c r="H12" s="14" t="n">
        <v>20851.91</v>
      </c>
    </row>
    <row r="13">
      <c r="I13" s="14" t="n">
        <v>26710.56</v>
      </c>
    </row>
    <row r="14">
      <c r="J14" s="14" t="n">
        <v>30475.33</v>
      </c>
    </row>
    <row r="15">
      <c r="K15" s="14" t="n">
        <v>38735.77</v>
      </c>
    </row>
    <row r="16">
      <c r="L16" s="18" t="n">
        <v>47021.351203</v>
      </c>
    </row>
    <row r="17">
      <c r="M17" s="18" t="n">
        <v>53143.53113</v>
      </c>
    </row>
    <row r="18">
      <c r="N18" s="18" t="n">
        <v>60833.400084</v>
      </c>
    </row>
    <row r="19">
      <c r="O19" s="18" t="n">
        <v>69842.82663700001</v>
      </c>
    </row>
    <row r="20">
      <c r="P20" s="18" t="n">
        <v>78286.824377</v>
      </c>
    </row>
    <row r="21">
      <c r="A21" s="4" t="inlineStr">
        <is>
          <t>Cost of goods sold</t>
        </is>
      </c>
      <c r="B21" s="14" t="n">
        <v>2217.15</v>
      </c>
    </row>
    <row r="22">
      <c r="C22" s="14" t="n">
        <v>3285.58</v>
      </c>
    </row>
    <row r="23">
      <c r="D23" s="14" t="n">
        <v>2822.15</v>
      </c>
    </row>
    <row r="24">
      <c r="E24" s="14" t="n">
        <v>3166.81</v>
      </c>
    </row>
    <row r="25">
      <c r="F25" s="14" t="n">
        <v>3329.5</v>
      </c>
    </row>
    <row r="26">
      <c r="G26" s="14" t="n">
        <v>4946.53</v>
      </c>
    </row>
    <row r="27">
      <c r="H27" s="14" t="n">
        <v>5767.7</v>
      </c>
    </row>
    <row r="28">
      <c r="I28" s="14" t="n">
        <v>7276.6</v>
      </c>
    </row>
    <row r="29">
      <c r="J29" s="14" t="n">
        <v>8271.030000000001</v>
      </c>
    </row>
    <row r="30">
      <c r="K30" s="14" t="n">
        <v>11532.88</v>
      </c>
    </row>
    <row r="31">
      <c r="L31" s="18" t="n">
        <v>14012.362658</v>
      </c>
    </row>
    <row r="32">
      <c r="M32" s="18" t="n">
        <v>15836.772277</v>
      </c>
    </row>
    <row r="33">
      <c r="N33" s="18" t="n">
        <v>18128.353225</v>
      </c>
    </row>
    <row r="34">
      <c r="O34" s="18" t="n">
        <v>20813.162338</v>
      </c>
    </row>
    <row r="35">
      <c r="P35" s="18" t="n">
        <v>23329.473664</v>
      </c>
    </row>
    <row r="36">
      <c r="A36" s="16" t="inlineStr">
        <is>
          <t xml:space="preserve"> Gross profit</t>
        </is>
      </c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</row>
    <row r="37">
      <c r="A37" s="19" t="inlineStr">
        <is>
          <t xml:space="preserve"> Gross profit</t>
        </is>
      </c>
      <c r="B37" s="14" t="n">
        <v>6222.2</v>
      </c>
    </row>
    <row r="38">
      <c r="C38" s="14" t="n">
        <v>8037.38</v>
      </c>
    </row>
    <row r="39">
      <c r="D39" s="14" t="n">
        <v>8103.29</v>
      </c>
    </row>
    <row r="40">
      <c r="E40" s="14" t="n">
        <v>8706.26</v>
      </c>
    </row>
    <row r="41">
      <c r="F41" s="14" t="n">
        <v>9220.1</v>
      </c>
    </row>
    <row r="42">
      <c r="G42" s="14" t="n">
        <v>12172.26</v>
      </c>
    </row>
    <row r="43">
      <c r="H43" s="14" t="n">
        <v>15084.21</v>
      </c>
    </row>
    <row r="44">
      <c r="I44" s="14" t="n">
        <v>19433.96</v>
      </c>
    </row>
    <row r="45">
      <c r="J45" s="14" t="n">
        <v>22204.3</v>
      </c>
    </row>
    <row r="46">
      <c r="K46" s="14" t="n">
        <v>27202.89</v>
      </c>
    </row>
    <row r="47">
      <c r="L47" s="18" t="n">
        <v>33008.988545</v>
      </c>
    </row>
    <row r="48">
      <c r="M48" s="18" t="n">
        <v>37306.758853</v>
      </c>
    </row>
    <row r="49">
      <c r="N49" s="18" t="n">
        <v>42705.046859</v>
      </c>
    </row>
    <row r="50">
      <c r="O50" s="18" t="n">
        <v>49029.664299</v>
      </c>
    </row>
    <row r="51">
      <c r="P51" s="18" t="n">
        <v>54957.350713</v>
      </c>
    </row>
    <row r="52">
      <c r="A52" s="16" t="inlineStr">
        <is>
          <t xml:space="preserve"> Operating expenses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</row>
    <row r="53">
      <c r="A53" s="19" t="inlineStr">
        <is>
          <t xml:space="preserve"> Operating expenses</t>
        </is>
      </c>
      <c r="B53" s="14" t="n">
        <v>803.97</v>
      </c>
    </row>
    <row r="54">
      <c r="C54" s="14" t="n">
        <v>880.71</v>
      </c>
    </row>
    <row r="55">
      <c r="D55" s="14" t="n">
        <v>1507.65</v>
      </c>
    </row>
    <row r="56">
      <c r="E56" s="14" t="n">
        <v>2759.15</v>
      </c>
    </row>
    <row r="57">
      <c r="F57" s="14" t="n">
        <v>532.14</v>
      </c>
    </row>
    <row r="58">
      <c r="G58" s="14" t="n">
        <v>2644.3</v>
      </c>
    </row>
    <row r="59">
      <c r="H59" s="14" t="n">
        <v>4137.08</v>
      </c>
    </row>
    <row r="60">
      <c r="I60" s="14" t="n">
        <v>3844.55</v>
      </c>
    </row>
    <row r="61">
      <c r="J61" s="14" t="n">
        <v>3782.93</v>
      </c>
    </row>
    <row r="62">
      <c r="K62" s="14" t="n">
        <v>4334.7</v>
      </c>
    </row>
    <row r="63">
      <c r="L63" s="18" t="n">
        <v>5501.498091</v>
      </c>
    </row>
    <row r="64">
      <c r="M64" s="18" t="n">
        <v>6483.510798</v>
      </c>
    </row>
    <row r="65">
      <c r="N65" s="18" t="n">
        <v>7725.841811</v>
      </c>
    </row>
    <row r="66">
      <c r="O66" s="18" t="n">
        <v>9219.253116</v>
      </c>
    </row>
    <row r="67">
      <c r="P67" s="18" t="n">
        <v>10725.29494</v>
      </c>
    </row>
    <row r="68">
      <c r="A68" s="16" t="inlineStr">
        <is>
          <t xml:space="preserve"> EBITDA</t>
        </is>
      </c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</row>
    <row r="69">
      <c r="A69" s="19" t="inlineStr">
        <is>
          <t xml:space="preserve"> EBITDA</t>
        </is>
      </c>
      <c r="B69" s="14" t="n">
        <v>5418.23</v>
      </c>
    </row>
    <row r="70">
      <c r="C70" s="14" t="n">
        <v>7156.67</v>
      </c>
    </row>
    <row r="71">
      <c r="D71" s="14" t="n">
        <v>6595.64</v>
      </c>
    </row>
    <row r="72">
      <c r="E72" s="14" t="n">
        <v>5947.11</v>
      </c>
    </row>
    <row r="73">
      <c r="F73" s="14" t="n">
        <v>8687.959999999999</v>
      </c>
    </row>
    <row r="74">
      <c r="G74" s="14" t="n">
        <v>9527.959999999999</v>
      </c>
    </row>
    <row r="75">
      <c r="H75" s="14" t="n">
        <v>10947.13</v>
      </c>
    </row>
    <row r="76">
      <c r="I76" s="14" t="n">
        <v>15589.41</v>
      </c>
    </row>
    <row r="77">
      <c r="J77" s="14" t="n">
        <v>18421.37</v>
      </c>
    </row>
    <row r="78">
      <c r="K78" s="14" t="n">
        <v>22868.19</v>
      </c>
    </row>
    <row r="79">
      <c r="L79" s="18" t="n">
        <v>27507.490454</v>
      </c>
    </row>
    <row r="80">
      <c r="M80" s="18" t="n">
        <v>30823.248055</v>
      </c>
    </row>
    <row r="81">
      <c r="N81" s="18" t="n">
        <v>34979.205048</v>
      </c>
    </row>
    <row r="82">
      <c r="O82" s="18" t="n">
        <v>39810.411183</v>
      </c>
    </row>
    <row r="83">
      <c r="P83" s="18" t="n">
        <v>44232.055773</v>
      </c>
    </row>
    <row r="84">
      <c r="A84" s="19" t="inlineStr">
        <is>
          <t xml:space="preserve"> Depreciation and amortisation</t>
        </is>
      </c>
      <c r="B84" s="14" t="n">
        <v>1160.19</v>
      </c>
    </row>
    <row r="85">
      <c r="C85" s="14" t="n">
        <v>1188.37</v>
      </c>
    </row>
    <row r="86">
      <c r="D86" s="14" t="n">
        <v>1373.48</v>
      </c>
    </row>
    <row r="87">
      <c r="E87" s="14" t="n">
        <v>1680.28</v>
      </c>
    </row>
    <row r="88">
      <c r="F88" s="14" t="n">
        <v>2107.34</v>
      </c>
    </row>
    <row r="89">
      <c r="G89" s="14" t="n">
        <v>3099.3</v>
      </c>
    </row>
    <row r="90">
      <c r="H90" s="14" t="n">
        <v>3424.71</v>
      </c>
    </row>
    <row r="91">
      <c r="I91" s="14" t="n">
        <v>3888.46</v>
      </c>
    </row>
    <row r="92">
      <c r="J92" s="14" t="n">
        <v>4378.93</v>
      </c>
    </row>
    <row r="93">
      <c r="K93" s="14" t="n">
        <v>5517.38</v>
      </c>
    </row>
    <row r="94">
      <c r="L94" s="18" t="n">
        <v>7621.656033</v>
      </c>
    </row>
    <row r="95">
      <c r="M95" s="18" t="n">
        <v>8024.294301</v>
      </c>
    </row>
    <row r="96">
      <c r="N96" s="18" t="n">
        <v>8482.729221</v>
      </c>
    </row>
    <row r="97">
      <c r="O97" s="18" t="n">
        <v>9012.961601000001</v>
      </c>
    </row>
    <row r="98">
      <c r="P98" s="18" t="n">
        <v>9623.321048</v>
      </c>
    </row>
    <row r="99">
      <c r="A99" s="16" t="inlineStr">
        <is>
          <t xml:space="preserve"> EBIT</t>
        </is>
      </c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</row>
    <row r="100">
      <c r="A100" s="19" t="inlineStr">
        <is>
          <t xml:space="preserve"> EBIT</t>
        </is>
      </c>
      <c r="B100" s="14" t="n">
        <v>4258.04</v>
      </c>
    </row>
    <row r="101">
      <c r="C101" s="14" t="n">
        <v>5968.3</v>
      </c>
    </row>
    <row r="102">
      <c r="D102" s="14" t="n">
        <v>5222.16</v>
      </c>
    </row>
    <row r="103">
      <c r="E103" s="14" t="n">
        <v>4266.83</v>
      </c>
    </row>
    <row r="104">
      <c r="F104" s="14" t="n">
        <v>6580.62</v>
      </c>
    </row>
    <row r="105">
      <c r="G105" s="14" t="n">
        <v>6428.66</v>
      </c>
    </row>
    <row r="106">
      <c r="H106" s="14" t="n">
        <v>7522.42</v>
      </c>
    </row>
    <row r="107">
      <c r="I107" s="14" t="n">
        <v>11700.95</v>
      </c>
    </row>
    <row r="108">
      <c r="J108" s="14" t="n">
        <v>14042.44</v>
      </c>
    </row>
    <row r="109">
      <c r="K109" s="14" t="n">
        <v>17350.81</v>
      </c>
    </row>
    <row r="110">
      <c r="L110" s="18" t="n">
        <v>19885.83442</v>
      </c>
    </row>
    <row r="111">
      <c r="M111" s="18" t="n">
        <v>22798.953755</v>
      </c>
    </row>
    <row r="112">
      <c r="N112" s="18" t="n">
        <v>26496.475827</v>
      </c>
    </row>
    <row r="113">
      <c r="O113" s="18" t="n">
        <v>30797.449582</v>
      </c>
    </row>
    <row r="114">
      <c r="P114" s="18" t="n">
        <v>34608.734725</v>
      </c>
    </row>
    <row r="115">
      <c r="A115" s="4" t="inlineStr">
        <is>
          <t>Other income</t>
        </is>
      </c>
      <c r="B115" s="14" t="n">
        <v>1036.57</v>
      </c>
    </row>
    <row r="116">
      <c r="C116" s="14" t="n">
        <v>844.49</v>
      </c>
    </row>
    <row r="117">
      <c r="D117" s="14" t="n">
        <v>1289.25</v>
      </c>
    </row>
    <row r="118">
      <c r="E118" s="14" t="n">
        <v>1927.73</v>
      </c>
    </row>
    <row r="119">
      <c r="F119" s="14" t="n">
        <v>1966.68</v>
      </c>
    </row>
    <row r="120">
      <c r="G120" s="14" t="n">
        <v>1832.4</v>
      </c>
    </row>
    <row r="121">
      <c r="H121" s="14" t="n">
        <v>327.11</v>
      </c>
    </row>
    <row r="122">
      <c r="I122" s="14" t="n">
        <v>670.5599999999999</v>
      </c>
    </row>
    <row r="123">
      <c r="J123" s="14" t="n">
        <v>1799.85</v>
      </c>
    </row>
    <row r="124">
      <c r="K124" s="14" t="n">
        <v>2151.73</v>
      </c>
    </row>
    <row r="125">
      <c r="L125" s="18" t="n">
        <v>2189.828815</v>
      </c>
    </row>
    <row r="126">
      <c r="M126" s="18" t="n">
        <v>2474.944526</v>
      </c>
    </row>
    <row r="127">
      <c r="N127" s="18" t="n">
        <v>2833.068999</v>
      </c>
    </row>
    <row r="128">
      <c r="O128" s="18" t="n">
        <v>3252.646518</v>
      </c>
    </row>
    <row r="129">
      <c r="P129" s="18" t="n">
        <v>3645.891482</v>
      </c>
    </row>
    <row r="130">
      <c r="A130" s="4" t="inlineStr">
        <is>
          <t>Interest expense</t>
        </is>
      </c>
      <c r="B130" s="14" t="n">
        <v>1115.74</v>
      </c>
    </row>
    <row r="131">
      <c r="C131" s="14" t="n">
        <v>1578.66</v>
      </c>
    </row>
    <row r="132">
      <c r="D132" s="14" t="n">
        <v>1385.19</v>
      </c>
    </row>
    <row r="133">
      <c r="E133" s="14" t="n">
        <v>1950.64</v>
      </c>
    </row>
    <row r="134">
      <c r="F134" s="14" t="n">
        <v>2255.29</v>
      </c>
    </row>
    <row r="135">
      <c r="G135" s="14" t="n">
        <v>2543.92</v>
      </c>
    </row>
    <row r="136">
      <c r="H136" s="14" t="n">
        <v>2362.64</v>
      </c>
    </row>
    <row r="137">
      <c r="I137" s="14" t="n">
        <v>2732.94</v>
      </c>
    </row>
    <row r="138">
      <c r="J138" s="14" t="n">
        <v>2812.67</v>
      </c>
    </row>
    <row r="139">
      <c r="K139" s="14" t="n">
        <v>4653.98</v>
      </c>
    </row>
    <row r="140">
      <c r="L140" s="18" t="n">
        <v>5255.327081</v>
      </c>
    </row>
    <row r="141">
      <c r="M141" s="18" t="n">
        <v>5606.8757</v>
      </c>
    </row>
    <row r="142">
      <c r="N142" s="18" t="n">
        <v>5981.940731</v>
      </c>
    </row>
    <row r="143">
      <c r="O143" s="18" t="n">
        <v>6382.095274</v>
      </c>
    </row>
    <row r="144">
      <c r="P144" s="18" t="n">
        <v>6809.017662</v>
      </c>
    </row>
    <row r="145">
      <c r="A145" s="4" t="inlineStr">
        <is>
          <t>Exceptional items</t>
        </is>
      </c>
      <c r="B145" s="14" t="n">
        <v>0</v>
      </c>
    </row>
    <row r="146">
      <c r="C146" s="14" t="n">
        <v>0</v>
      </c>
    </row>
    <row r="147">
      <c r="D147" s="14" t="n">
        <v>0</v>
      </c>
    </row>
    <row r="148">
      <c r="E148" s="14" t="n">
        <v>0</v>
      </c>
    </row>
    <row r="149">
      <c r="F149" s="14" t="n">
        <v>0</v>
      </c>
    </row>
    <row r="150">
      <c r="G150" s="14" t="n">
        <v>0</v>
      </c>
    </row>
    <row r="151">
      <c r="H151" s="14" t="n">
        <v>0</v>
      </c>
    </row>
    <row r="152">
      <c r="I152" s="14" t="n">
        <v>0</v>
      </c>
    </row>
    <row r="153">
      <c r="J153" s="14" t="n">
        <v>0</v>
      </c>
    </row>
    <row r="154">
      <c r="K154" s="14" t="n">
        <v>0</v>
      </c>
    </row>
    <row r="155">
      <c r="L155" s="18" t="n">
        <v>0</v>
      </c>
    </row>
    <row r="156">
      <c r="M156" s="18" t="n">
        <v>0</v>
      </c>
    </row>
    <row r="157">
      <c r="N157" s="18" t="n">
        <v>0</v>
      </c>
    </row>
    <row r="158">
      <c r="O158" s="18" t="n">
        <v>0</v>
      </c>
    </row>
    <row r="159">
      <c r="P159" s="18" t="n">
        <v>0</v>
      </c>
    </row>
    <row r="160">
      <c r="A160" s="16" t="inlineStr">
        <is>
          <t>Profit before tax</t>
        </is>
      </c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</row>
    <row r="161">
      <c r="A161" s="4" t="inlineStr">
        <is>
          <t>Profit before tax</t>
        </is>
      </c>
      <c r="B161" s="14" t="n">
        <v>4178.87</v>
      </c>
    </row>
    <row r="162">
      <c r="C162" s="14" t="n">
        <v>5234.13</v>
      </c>
    </row>
    <row r="163">
      <c r="D163" s="14" t="n">
        <v>5126.22</v>
      </c>
    </row>
    <row r="164">
      <c r="E164" s="14" t="n">
        <v>4243.92</v>
      </c>
    </row>
    <row r="165">
      <c r="F165" s="14" t="n">
        <v>6292.01</v>
      </c>
    </row>
    <row r="166">
      <c r="G166" s="14" t="n">
        <v>5717.14</v>
      </c>
    </row>
    <row r="167">
      <c r="H167" s="14" t="n">
        <v>5486.89</v>
      </c>
    </row>
    <row r="168">
      <c r="I168" s="14" t="n">
        <v>9638.57</v>
      </c>
    </row>
    <row r="169">
      <c r="J169" s="14" t="n">
        <v>13029.62</v>
      </c>
    </row>
    <row r="170">
      <c r="K170" s="14" t="n">
        <v>14848.56</v>
      </c>
    </row>
    <row r="171">
      <c r="L171" s="18" t="n">
        <v>16820.336155</v>
      </c>
    </row>
    <row r="172">
      <c r="M172" s="18" t="n">
        <v>19667.022581</v>
      </c>
    </row>
    <row r="173">
      <c r="N173" s="18" t="n">
        <v>23347.604096</v>
      </c>
    </row>
    <row r="174">
      <c r="O174" s="18" t="n">
        <v>27668.000826</v>
      </c>
    </row>
    <row r="175">
      <c r="P175" s="18" t="n">
        <v>31445.608546</v>
      </c>
    </row>
    <row r="176">
      <c r="A176" s="4" t="inlineStr">
        <is>
          <t>Tax</t>
        </is>
      </c>
      <c r="B176" s="14" t="n">
        <v>267.35</v>
      </c>
    </row>
    <row r="177">
      <c r="C177" s="14" t="n">
        <v>1560.51</v>
      </c>
    </row>
    <row r="178">
      <c r="D178" s="14" t="n">
        <v>1136</v>
      </c>
    </row>
    <row r="179">
      <c r="E179" s="14" t="n">
        <v>480.79</v>
      </c>
    </row>
    <row r="180">
      <c r="F180" s="14" t="n">
        <v>1297.71</v>
      </c>
    </row>
    <row r="181">
      <c r="G181" s="14" t="n">
        <v>831.11</v>
      </c>
    </row>
    <row r="182">
      <c r="H182" s="14" t="n">
        <v>178.04</v>
      </c>
    </row>
    <row r="183">
      <c r="I183" s="14" t="n">
        <v>1527.93</v>
      </c>
    </row>
    <row r="184">
      <c r="J184" s="14" t="n">
        <v>1937.31</v>
      </c>
    </row>
    <row r="185">
      <c r="K185" s="14" t="n">
        <v>2042.35</v>
      </c>
    </row>
    <row r="186">
      <c r="L186" s="18" t="n">
        <v>3111.762189</v>
      </c>
    </row>
    <row r="187">
      <c r="M187" s="18" t="n">
        <v>3638.399177</v>
      </c>
    </row>
    <row r="188">
      <c r="N188" s="18" t="n">
        <v>4319.306758</v>
      </c>
    </row>
    <row r="189">
      <c r="O189" s="18" t="n">
        <v>5118.580153</v>
      </c>
    </row>
    <row r="190">
      <c r="P190" s="18" t="n">
        <v>5817.437581</v>
      </c>
    </row>
    <row r="191">
      <c r="A191" s="4" t="inlineStr">
        <is>
          <t>Profit after tax</t>
        </is>
      </c>
      <c r="B191" s="14" t="n">
        <v>3911.52</v>
      </c>
    </row>
    <row r="192">
      <c r="C192" s="14" t="n">
        <v>3673.62</v>
      </c>
    </row>
    <row r="193">
      <c r="D193" s="14" t="n">
        <v>3990.22</v>
      </c>
    </row>
    <row r="194">
      <c r="E194" s="14" t="n">
        <v>3763.13</v>
      </c>
    </row>
    <row r="195">
      <c r="F195" s="14" t="n">
        <v>4994.3</v>
      </c>
    </row>
    <row r="196">
      <c r="G196" s="14" t="n">
        <v>4886.03</v>
      </c>
    </row>
    <row r="197">
      <c r="H197" s="14" t="n">
        <v>5308.85</v>
      </c>
    </row>
    <row r="198">
      <c r="I198" s="14" t="n">
        <v>8110.64</v>
      </c>
    </row>
    <row r="199">
      <c r="J199" s="14" t="n">
        <v>11092.31</v>
      </c>
    </row>
    <row r="200">
      <c r="K200" s="14" t="n">
        <v>12806.21</v>
      </c>
    </row>
    <row r="201">
      <c r="L201" s="18" t="n">
        <v>13708.573966</v>
      </c>
    </row>
    <row r="202">
      <c r="M202" s="18" t="n">
        <v>16028.623403</v>
      </c>
    </row>
    <row r="203">
      <c r="N203" s="18" t="n">
        <v>19028.297338</v>
      </c>
    </row>
    <row r="204">
      <c r="O204" s="18" t="n">
        <v>22549.420673</v>
      </c>
    </row>
    <row r="205">
      <c r="P205" s="18" t="n">
        <v>25628.170965</v>
      </c>
    </row>
    <row r="206">
      <c r="A206" s="4" t="inlineStr">
        <is>
          <t>Earnings per share (INR)</t>
        </is>
      </c>
      <c r="B206" s="14" t="n">
        <v>18.887545</v>
      </c>
    </row>
    <row r="207">
      <c r="C207" s="14" t="n">
        <v>17.738798</v>
      </c>
    </row>
    <row r="208">
      <c r="D208" s="14" t="n">
        <v>19.267564</v>
      </c>
    </row>
    <row r="209">
      <c r="E209" s="14" t="n">
        <v>18.521601</v>
      </c>
    </row>
    <row r="210">
      <c r="F210" s="14" t="n">
        <v>24.581248</v>
      </c>
    </row>
    <row r="211">
      <c r="G211" s="14" t="n">
        <v>23.130527</v>
      </c>
    </row>
    <row r="212">
      <c r="H212" s="14" t="n">
        <v>24.576428</v>
      </c>
    </row>
    <row r="213">
      <c r="I213" s="14" t="n">
        <v>37.546843</v>
      </c>
    </row>
    <row r="214">
      <c r="J214" s="14" t="n">
        <v>51.349983</v>
      </c>
    </row>
    <row r="215">
      <c r="K215" s="14" t="n">
        <v>55.583498</v>
      </c>
    </row>
    <row r="216">
      <c r="L216" s="18" t="n">
        <v>59.500078</v>
      </c>
    </row>
    <row r="217">
      <c r="M217" s="18" t="n">
        <v>69.56991600000001</v>
      </c>
    </row>
    <row r="218">
      <c r="N218" s="18" t="n">
        <v>82.589566</v>
      </c>
    </row>
    <row r="219">
      <c r="O219" s="18" t="n">
        <v>97.872491</v>
      </c>
    </row>
    <row r="220">
      <c r="P220" s="18" t="n">
        <v>111.23536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Adani Ports and Special Economic Zone Ltd - Balance Sheet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16" t="inlineStr">
        <is>
          <t>ASSETS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</row>
    <row r="6">
      <c r="A6" s="4" t="inlineStr">
        <is>
          <t>Cash and bank</t>
        </is>
      </c>
      <c r="B6" s="14" t="n">
        <v>1976.8</v>
      </c>
    </row>
    <row r="7">
      <c r="C7" s="14" t="n">
        <v>2967.55</v>
      </c>
    </row>
    <row r="8">
      <c r="D8" s="14" t="n">
        <v>5967.3</v>
      </c>
    </row>
    <row r="9">
      <c r="E9" s="14" t="n">
        <v>7313.86</v>
      </c>
    </row>
    <row r="10">
      <c r="F10" s="14" t="n">
        <v>4700.78</v>
      </c>
    </row>
    <row r="11">
      <c r="G11" s="14" t="n">
        <v>10667.41</v>
      </c>
    </row>
    <row r="12">
      <c r="H12" s="14" t="n">
        <v>4334.31</v>
      </c>
    </row>
    <row r="13">
      <c r="I13" s="14" t="n">
        <v>7631.88</v>
      </c>
    </row>
    <row r="14">
      <c r="J14" s="14" t="n">
        <v>6605.97</v>
      </c>
    </row>
    <row r="15">
      <c r="K15" s="14" t="n">
        <v>8483.51</v>
      </c>
    </row>
    <row r="16">
      <c r="L16" s="18" t="n">
        <v>10550.460984</v>
      </c>
    </row>
    <row r="17">
      <c r="M17" s="18" t="n">
        <v>18171.52386</v>
      </c>
    </row>
    <row r="18">
      <c r="N18" s="18" t="n">
        <v>26727.436721</v>
      </c>
    </row>
    <row r="19">
      <c r="O19" s="18" t="n">
        <v>36651.479092</v>
      </c>
    </row>
    <row r="20">
      <c r="P20" s="18" t="n">
        <v>49620.534088</v>
      </c>
    </row>
    <row r="21">
      <c r="A21" s="4" t="inlineStr">
        <is>
          <t>Trade receivables</t>
        </is>
      </c>
      <c r="B21" s="14" t="n">
        <v>2692.99</v>
      </c>
    </row>
    <row r="22">
      <c r="C22" s="14" t="n">
        <v>4309.91</v>
      </c>
    </row>
    <row r="23">
      <c r="D23" s="14" t="n">
        <v>2789.66</v>
      </c>
    </row>
    <row r="24">
      <c r="E24" s="14" t="n">
        <v>3202.14</v>
      </c>
    </row>
    <row r="25">
      <c r="F25" s="14" t="n">
        <v>2925.71</v>
      </c>
    </row>
    <row r="26">
      <c r="G26" s="14" t="n">
        <v>2521.14</v>
      </c>
    </row>
    <row r="27">
      <c r="H27" s="14" t="n">
        <v>3957.07</v>
      </c>
    </row>
    <row r="28">
      <c r="I28" s="14" t="n">
        <v>3666.94</v>
      </c>
    </row>
    <row r="29">
      <c r="J29" s="14" t="n">
        <v>4432.36</v>
      </c>
    </row>
    <row r="30">
      <c r="K30" s="14" t="n">
        <v>6382.54</v>
      </c>
    </row>
    <row r="31">
      <c r="L31" s="18" t="n">
        <v>7471.885945</v>
      </c>
    </row>
    <row r="32">
      <c r="M32" s="18" t="n">
        <v>8444.725495000001</v>
      </c>
    </row>
    <row r="33">
      <c r="N33" s="18" t="n">
        <v>9666.677274</v>
      </c>
    </row>
    <row r="34">
      <c r="O34" s="18" t="n">
        <v>11098.312178</v>
      </c>
    </row>
    <row r="35">
      <c r="P35" s="18" t="n">
        <v>12440.09812</v>
      </c>
    </row>
    <row r="36">
      <c r="A36" s="4" t="inlineStr">
        <is>
          <t>Inventories</t>
        </is>
      </c>
      <c r="B36" s="14" t="n">
        <v>657.09</v>
      </c>
    </row>
    <row r="37">
      <c r="C37" s="14" t="n">
        <v>520.29</v>
      </c>
    </row>
    <row r="38">
      <c r="D38" s="14" t="n">
        <v>806.6799999999999</v>
      </c>
    </row>
    <row r="39">
      <c r="E39" s="14" t="n">
        <v>288.28</v>
      </c>
    </row>
    <row r="40">
      <c r="F40" s="14" t="n">
        <v>991.85</v>
      </c>
    </row>
    <row r="41">
      <c r="G41" s="14" t="n">
        <v>395.64</v>
      </c>
    </row>
    <row r="42">
      <c r="H42" s="14" t="n">
        <v>451.97</v>
      </c>
    </row>
    <row r="43">
      <c r="I43" s="14" t="n">
        <v>437.51</v>
      </c>
    </row>
    <row r="44">
      <c r="J44" s="14" t="n">
        <v>521.8</v>
      </c>
    </row>
    <row r="45">
      <c r="K45" s="14" t="n">
        <v>685</v>
      </c>
    </row>
    <row r="46">
      <c r="L46" s="18" t="n">
        <v>833.063753</v>
      </c>
    </row>
    <row r="47">
      <c r="M47" s="18" t="n">
        <v>941.528653</v>
      </c>
    </row>
    <row r="48">
      <c r="N48" s="18" t="n">
        <v>1077.767849</v>
      </c>
    </row>
    <row r="49">
      <c r="O49" s="18" t="n">
        <v>1237.385268</v>
      </c>
    </row>
    <row r="50">
      <c r="P50" s="18" t="n">
        <v>1386.985147</v>
      </c>
    </row>
    <row r="51">
      <c r="A51" s="4" t="inlineStr">
        <is>
          <t>Other current assets</t>
        </is>
      </c>
      <c r="B51" s="14" t="n">
        <v>11313.66</v>
      </c>
    </row>
    <row r="52">
      <c r="C52" s="14" t="n">
        <v>11140.58</v>
      </c>
    </row>
    <row r="53">
      <c r="D53" s="14" t="n">
        <v>13360.59</v>
      </c>
    </row>
    <row r="54">
      <c r="E54" s="14" t="n">
        <v>14003.58</v>
      </c>
    </row>
    <row r="55">
      <c r="F55" s="14" t="n">
        <v>11739.35</v>
      </c>
    </row>
    <row r="56">
      <c r="G56" s="14" t="n">
        <v>15007.24</v>
      </c>
    </row>
    <row r="57">
      <c r="H57" s="14" t="n">
        <v>17527.69</v>
      </c>
    </row>
    <row r="58">
      <c r="I58" s="14" t="n">
        <v>14890.31</v>
      </c>
    </row>
    <row r="59">
      <c r="J59" s="14" t="n">
        <v>15900.65</v>
      </c>
    </row>
    <row r="60">
      <c r="K60" s="14" t="n">
        <v>17757.28</v>
      </c>
    </row>
    <row r="61">
      <c r="L61" s="18" t="n">
        <v>24100.708475</v>
      </c>
    </row>
    <row r="62">
      <c r="M62" s="18" t="n">
        <v>27238.620718</v>
      </c>
    </row>
    <row r="63">
      <c r="N63" s="18" t="n">
        <v>31180.049136</v>
      </c>
    </row>
    <row r="64">
      <c r="O64" s="18" t="n">
        <v>35797.814413</v>
      </c>
    </row>
    <row r="65">
      <c r="P65" s="18" t="n">
        <v>40125.770175</v>
      </c>
    </row>
    <row r="66">
      <c r="A66" s="19" t="inlineStr">
        <is>
          <t xml:space="preserve"> Total current assets</t>
        </is>
      </c>
      <c r="B66" s="14" t="n">
        <v>16640.54</v>
      </c>
    </row>
    <row r="67">
      <c r="C67" s="14" t="n">
        <v>18938.33</v>
      </c>
    </row>
    <row r="68">
      <c r="D68" s="14" t="n">
        <v>22924.23</v>
      </c>
    </row>
    <row r="69">
      <c r="E69" s="14" t="n">
        <v>24807.86</v>
      </c>
    </row>
    <row r="70">
      <c r="F70" s="14" t="n">
        <v>20357.69</v>
      </c>
    </row>
    <row r="71">
      <c r="G71" s="14" t="n">
        <v>28591.43</v>
      </c>
    </row>
    <row r="72">
      <c r="H72" s="14" t="n">
        <v>26271.04</v>
      </c>
    </row>
    <row r="73">
      <c r="I73" s="14" t="n">
        <v>26626.64</v>
      </c>
    </row>
    <row r="74">
      <c r="J74" s="14" t="n">
        <v>27460.78</v>
      </c>
    </row>
    <row r="75">
      <c r="K75" s="14" t="n">
        <v>33308.33</v>
      </c>
    </row>
    <row r="76">
      <c r="L76" s="18" t="n">
        <v>42956.119157</v>
      </c>
    </row>
    <row r="77">
      <c r="M77" s="18" t="n">
        <v>54796.398726</v>
      </c>
    </row>
    <row r="78">
      <c r="N78" s="18" t="n">
        <v>68651.93098</v>
      </c>
    </row>
    <row r="79">
      <c r="O79" s="18" t="n">
        <v>84784.990951</v>
      </c>
    </row>
    <row r="80">
      <c r="P80" s="18" t="n">
        <v>103573.38753</v>
      </c>
    </row>
    <row r="81">
      <c r="A81" s="16" t="inlineStr">
        <is>
          <t xml:space="preserve"> Non-current assets</t>
        </is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</row>
    <row r="82">
      <c r="A82" s="4" t="inlineStr">
        <is>
          <t>Net fixed assets</t>
        </is>
      </c>
      <c r="B82" s="14" t="n">
        <v>21053.5</v>
      </c>
    </row>
    <row r="83">
      <c r="C83" s="14" t="n">
        <v>22670.01</v>
      </c>
    </row>
    <row r="84">
      <c r="D84" s="14" t="n">
        <v>28121.42</v>
      </c>
    </row>
    <row r="85">
      <c r="E85" s="14" t="n">
        <v>32714.51</v>
      </c>
    </row>
    <row r="86">
      <c r="F86" s="14" t="n">
        <v>48290.96</v>
      </c>
    </row>
    <row r="87">
      <c r="G87" s="14" t="n">
        <v>62552.92</v>
      </c>
    </row>
    <row r="88">
      <c r="H88" s="14" t="n">
        <v>72223.73</v>
      </c>
    </row>
    <row r="89">
      <c r="I89" s="14" t="n">
        <v>75147.81</v>
      </c>
    </row>
    <row r="90">
      <c r="J90" s="14" t="n">
        <v>89616.32000000001</v>
      </c>
    </row>
    <row r="91">
      <c r="K91" s="14" t="n">
        <v>131652.5</v>
      </c>
    </row>
    <row r="92">
      <c r="L92" s="18" t="n">
        <v>138607.46284</v>
      </c>
    </row>
    <row r="93">
      <c r="M93" s="18" t="n">
        <v>146526.227878</v>
      </c>
    </row>
    <row r="94">
      <c r="N94" s="18" t="n">
        <v>155685.184681</v>
      </c>
    </row>
    <row r="95">
      <c r="O95" s="18" t="n">
        <v>166228.214539</v>
      </c>
    </row>
    <row r="96">
      <c r="P96" s="18" t="n">
        <v>176959.467829</v>
      </c>
    </row>
    <row r="97">
      <c r="A97" s="4" t="inlineStr">
        <is>
          <t>Capital work in progress</t>
        </is>
      </c>
      <c r="B97" s="14" t="n">
        <v>4513.97</v>
      </c>
    </row>
    <row r="98">
      <c r="C98" s="14" t="n">
        <v>4545.46</v>
      </c>
    </row>
    <row r="99">
      <c r="D99" s="14" t="n">
        <v>4483.48</v>
      </c>
    </row>
    <row r="100">
      <c r="E100" s="14" t="n">
        <v>3216.33</v>
      </c>
    </row>
    <row r="101">
      <c r="F101" s="14" t="n">
        <v>3697.13</v>
      </c>
    </row>
    <row r="102">
      <c r="G102" s="14" t="n">
        <v>4022.9</v>
      </c>
    </row>
    <row r="103">
      <c r="H103" s="14" t="n">
        <v>6636.77</v>
      </c>
    </row>
    <row r="104">
      <c r="I104" s="14" t="n">
        <v>10936.09</v>
      </c>
    </row>
    <row r="105">
      <c r="J105" s="14" t="n">
        <v>11706.1</v>
      </c>
    </row>
    <row r="106">
      <c r="K106" s="14" t="n">
        <v>12689.05</v>
      </c>
    </row>
    <row r="107">
      <c r="L107" s="18" t="n">
        <v>17572.292046</v>
      </c>
    </row>
    <row r="108">
      <c r="M108" s="18" t="n">
        <v>19860.204471</v>
      </c>
    </row>
    <row r="109">
      <c r="N109" s="18" t="n">
        <v>22733.976058</v>
      </c>
    </row>
    <row r="110">
      <c r="O110" s="18" t="n">
        <v>26100.877912</v>
      </c>
    </row>
    <row r="111">
      <c r="P111" s="18" t="n">
        <v>29256.474051</v>
      </c>
    </row>
    <row r="112">
      <c r="A112" s="4" t="inlineStr">
        <is>
          <t>Investments</t>
        </is>
      </c>
      <c r="B112" s="14" t="n">
        <v>1161.36</v>
      </c>
    </row>
    <row r="113">
      <c r="C113" s="14" t="n">
        <v>1078.92</v>
      </c>
    </row>
    <row r="114">
      <c r="D114" s="14" t="n">
        <v>782.3</v>
      </c>
    </row>
    <row r="115">
      <c r="E115" s="14" t="n">
        <v>1178</v>
      </c>
    </row>
    <row r="116">
      <c r="F116" s="14" t="n">
        <v>2236.15</v>
      </c>
    </row>
    <row r="117">
      <c r="G117" s="14" t="n">
        <v>3160.74</v>
      </c>
    </row>
    <row r="118">
      <c r="H118" s="14" t="n">
        <v>7431.65</v>
      </c>
    </row>
    <row r="119">
      <c r="I119" s="14" t="n">
        <v>4288.66</v>
      </c>
    </row>
    <row r="120">
      <c r="J120" s="14" t="n">
        <v>4659.45</v>
      </c>
    </row>
    <row r="121">
      <c r="K121" s="14" t="n">
        <v>5448.65</v>
      </c>
    </row>
    <row r="122">
      <c r="L122" s="18" t="n">
        <v>5448.65</v>
      </c>
    </row>
    <row r="123">
      <c r="M123" s="18" t="n">
        <v>5448.65</v>
      </c>
    </row>
    <row r="124">
      <c r="N124" s="18" t="n">
        <v>5448.65</v>
      </c>
    </row>
    <row r="125">
      <c r="O125" s="18" t="n">
        <v>5448.65</v>
      </c>
    </row>
    <row r="126">
      <c r="P126" s="18" t="n">
        <v>5448.65</v>
      </c>
    </row>
    <row r="127">
      <c r="A127" s="19" t="inlineStr">
        <is>
          <t xml:space="preserve"> Total non-current assets</t>
        </is>
      </c>
      <c r="B127" s="14" t="n">
        <v>26728.83</v>
      </c>
    </row>
    <row r="128">
      <c r="C128" s="14" t="n">
        <v>28294.39</v>
      </c>
    </row>
    <row r="129">
      <c r="D129" s="14" t="n">
        <v>33387.2</v>
      </c>
    </row>
    <row r="130">
      <c r="E130" s="14" t="n">
        <v>37108.84</v>
      </c>
    </row>
    <row r="131">
      <c r="F131" s="14" t="n">
        <v>54224.24</v>
      </c>
    </row>
    <row r="132">
      <c r="G132" s="14" t="n">
        <v>69736.56</v>
      </c>
    </row>
    <row r="133">
      <c r="H133" s="14" t="n">
        <v>86292.14999999999</v>
      </c>
    </row>
    <row r="134">
      <c r="I134" s="14" t="n">
        <v>90372.56</v>
      </c>
    </row>
    <row r="135">
      <c r="J135" s="14" t="n">
        <v>105981.87</v>
      </c>
    </row>
    <row r="136">
      <c r="K136" s="14" t="n">
        <v>149790.2</v>
      </c>
    </row>
    <row r="137">
      <c r="L137" s="18" t="n">
        <v>161628.404886</v>
      </c>
    </row>
    <row r="138">
      <c r="M138" s="18" t="n">
        <v>171835.082349</v>
      </c>
    </row>
    <row r="139">
      <c r="N139" s="18" t="n">
        <v>183867.810739</v>
      </c>
    </row>
    <row r="140">
      <c r="O140" s="18" t="n">
        <v>197777.742451</v>
      </c>
    </row>
    <row r="141">
      <c r="P141" s="18" t="n">
        <v>211664.59188</v>
      </c>
    </row>
    <row r="142">
      <c r="A142" s="4" t="inlineStr">
        <is>
          <t>Total assets</t>
        </is>
      </c>
      <c r="B142" s="14" t="n">
        <v>43369.37</v>
      </c>
    </row>
    <row r="143">
      <c r="C143" s="14" t="n">
        <v>47232.72</v>
      </c>
    </row>
    <row r="144">
      <c r="D144" s="14" t="n">
        <v>56311.43</v>
      </c>
    </row>
    <row r="145">
      <c r="E145" s="14" t="n">
        <v>61916.7</v>
      </c>
    </row>
    <row r="146">
      <c r="F146" s="14" t="n">
        <v>74581.92999999999</v>
      </c>
    </row>
    <row r="147">
      <c r="G147" s="14" t="n">
        <v>98327.99000000001</v>
      </c>
    </row>
    <row r="148">
      <c r="H148" s="14" t="n">
        <v>112563.19</v>
      </c>
    </row>
    <row r="149">
      <c r="I149" s="14" t="n">
        <v>116999.2</v>
      </c>
    </row>
    <row r="150">
      <c r="J150" s="14" t="n">
        <v>133442.65</v>
      </c>
    </row>
    <row r="151">
      <c r="K151" s="14" t="n">
        <v>183098.53</v>
      </c>
    </row>
    <row r="152">
      <c r="L152" s="18" t="n">
        <v>204584.524042</v>
      </c>
    </row>
    <row r="153">
      <c r="M153" s="18" t="n">
        <v>226631.481074</v>
      </c>
    </row>
    <row r="154">
      <c r="N154" s="18" t="n">
        <v>252519.741718</v>
      </c>
    </row>
    <row r="155">
      <c r="O155" s="18" t="n">
        <v>282562.733401</v>
      </c>
    </row>
    <row r="156">
      <c r="P156" s="18" t="n">
        <v>315237.97941</v>
      </c>
    </row>
    <row r="157">
      <c r="A157" s="16" t="inlineStr">
        <is>
          <t>EQUITY AND LIABILITIES</t>
        </is>
      </c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</row>
    <row r="158">
      <c r="A158" s="4" t="inlineStr">
        <is>
          <t>Share capital</t>
        </is>
      </c>
      <c r="B158" s="14" t="n">
        <v>414.19</v>
      </c>
    </row>
    <row r="159">
      <c r="C159" s="14" t="n">
        <v>414.19</v>
      </c>
    </row>
    <row r="160">
      <c r="D160" s="14" t="n">
        <v>414.19</v>
      </c>
    </row>
    <row r="161">
      <c r="E161" s="14" t="n">
        <v>406.35</v>
      </c>
    </row>
    <row r="162">
      <c r="F162" s="14" t="n">
        <v>406.35</v>
      </c>
    </row>
    <row r="163">
      <c r="G163" s="14" t="n">
        <v>422.47</v>
      </c>
    </row>
    <row r="164">
      <c r="H164" s="14" t="n">
        <v>432.03</v>
      </c>
    </row>
    <row r="165">
      <c r="I165" s="14" t="n">
        <v>432.03</v>
      </c>
    </row>
    <row r="166">
      <c r="J166" s="14" t="n">
        <v>432.03</v>
      </c>
    </row>
    <row r="167">
      <c r="K167" s="14" t="n">
        <v>460.79</v>
      </c>
    </row>
    <row r="168">
      <c r="L168" s="18" t="n">
        <v>460.79</v>
      </c>
    </row>
    <row r="169">
      <c r="M169" s="18" t="n">
        <v>460.79</v>
      </c>
    </row>
    <row r="170">
      <c r="N170" s="18" t="n">
        <v>460.79</v>
      </c>
    </row>
    <row r="171">
      <c r="O171" s="18" t="n">
        <v>460.79</v>
      </c>
    </row>
    <row r="172">
      <c r="P172" s="18" t="n">
        <v>460.79</v>
      </c>
    </row>
    <row r="173">
      <c r="A173" s="4" t="inlineStr">
        <is>
          <t>Reserves and surplus</t>
        </is>
      </c>
      <c r="B173" s="14" t="n">
        <v>17111.79</v>
      </c>
    </row>
    <row r="174">
      <c r="C174" s="14" t="n">
        <v>20488.76</v>
      </c>
    </row>
    <row r="175">
      <c r="D175" s="14" t="n">
        <v>23958.13</v>
      </c>
    </row>
    <row r="176">
      <c r="E176" s="14" t="n">
        <v>25050.61</v>
      </c>
    </row>
    <row r="177">
      <c r="F177" s="14" t="n">
        <v>30035.38</v>
      </c>
    </row>
    <row r="178">
      <c r="G178" s="14" t="n">
        <v>41399.22</v>
      </c>
    </row>
    <row r="179">
      <c r="H179" s="14" t="n">
        <v>44957.36</v>
      </c>
    </row>
    <row r="180">
      <c r="I180" s="14" t="n">
        <v>52346.21</v>
      </c>
    </row>
    <row r="181">
      <c r="J181" s="14" t="n">
        <v>61836.83</v>
      </c>
    </row>
    <row r="182">
      <c r="K182" s="14" t="n">
        <v>95497.98</v>
      </c>
    </row>
    <row r="183">
      <c r="L183" s="18" t="n">
        <v>107236.849953</v>
      </c>
    </row>
    <row r="184">
      <c r="M184" s="18" t="n">
        <v>120962.415146</v>
      </c>
    </row>
    <row r="185">
      <c r="N185" s="18" t="n">
        <v>137256.648845</v>
      </c>
    </row>
    <row r="186">
      <c r="O186" s="18" t="n">
        <v>156566.076468</v>
      </c>
    </row>
    <row r="187">
      <c r="P187" s="18" t="n">
        <v>178511.88694</v>
      </c>
    </row>
    <row r="188">
      <c r="A188" s="19" t="inlineStr">
        <is>
          <t xml:space="preserve"> Total equity</t>
        </is>
      </c>
      <c r="B188" s="14" t="n">
        <v>17525.98</v>
      </c>
    </row>
    <row r="189">
      <c r="C189" s="14" t="n">
        <v>20902.95</v>
      </c>
    </row>
    <row r="190">
      <c r="D190" s="14" t="n">
        <v>24372.32</v>
      </c>
    </row>
    <row r="191">
      <c r="E191" s="14" t="n">
        <v>25456.96</v>
      </c>
    </row>
    <row r="192">
      <c r="F192" s="14" t="n">
        <v>30441.73</v>
      </c>
    </row>
    <row r="193">
      <c r="G193" s="14" t="n">
        <v>41821.69</v>
      </c>
    </row>
    <row r="194">
      <c r="H194" s="14" t="n">
        <v>45389.39</v>
      </c>
    </row>
    <row r="195">
      <c r="I195" s="14" t="n">
        <v>52778.24</v>
      </c>
    </row>
    <row r="196">
      <c r="J196" s="14" t="n">
        <v>62268.86</v>
      </c>
    </row>
    <row r="197">
      <c r="K197" s="14" t="n">
        <v>95958.77</v>
      </c>
    </row>
    <row r="198">
      <c r="L198" s="18" t="n">
        <v>107697.639953</v>
      </c>
    </row>
    <row r="199">
      <c r="M199" s="18" t="n">
        <v>121423.205146</v>
      </c>
    </row>
    <row r="200">
      <c r="N200" s="18" t="n">
        <v>137717.438845</v>
      </c>
    </row>
    <row r="201">
      <c r="O201" s="18" t="n">
        <v>157026.866468</v>
      </c>
    </row>
    <row r="202">
      <c r="P202" s="18" t="n">
        <v>178972.67694</v>
      </c>
    </row>
    <row r="203">
      <c r="A203" s="4" t="inlineStr">
        <is>
          <t>Term borrowings</t>
        </is>
      </c>
      <c r="B203" s="14" t="n">
        <v>22214.26</v>
      </c>
    </row>
    <row r="204">
      <c r="C204" s="14" t="n">
        <v>22370.04</v>
      </c>
    </row>
    <row r="205">
      <c r="D205" s="14" t="n">
        <v>27711.54</v>
      </c>
    </row>
    <row r="206">
      <c r="E206" s="14" t="n">
        <v>30242.32</v>
      </c>
    </row>
    <row r="207">
      <c r="F207" s="14" t="n">
        <v>35855.33</v>
      </c>
    </row>
    <row r="208">
      <c r="G208" s="14" t="n">
        <v>47934.75</v>
      </c>
    </row>
    <row r="209">
      <c r="H209" s="14" t="n">
        <v>53434.22</v>
      </c>
    </row>
    <row r="210">
      <c r="I210" s="14" t="n">
        <v>49470.24</v>
      </c>
    </row>
    <row r="211">
      <c r="J211" s="14" t="n">
        <v>51620.73</v>
      </c>
    </row>
    <row r="212">
      <c r="K212" s="14" t="n">
        <v>63565.52</v>
      </c>
    </row>
    <row r="213">
      <c r="L213" s="18" t="n">
        <v>67817.657017</v>
      </c>
    </row>
    <row r="214">
      <c r="M214" s="18" t="n">
        <v>72354.23549200001</v>
      </c>
    </row>
    <row r="215">
      <c r="N215" s="18" t="n">
        <v>77194.282786</v>
      </c>
    </row>
    <row r="216">
      <c r="O216" s="18" t="n">
        <v>82358.09907</v>
      </c>
    </row>
    <row r="217">
      <c r="P217" s="18" t="n">
        <v>87867.342473</v>
      </c>
    </row>
    <row r="218">
      <c r="A218" s="4" t="inlineStr">
        <is>
          <t>Revolver / short-term plug</t>
        </is>
      </c>
      <c r="B218" s="14" t="n">
        <v>0</v>
      </c>
    </row>
    <row r="219">
      <c r="C219" s="14" t="n">
        <v>0</v>
      </c>
    </row>
    <row r="220">
      <c r="D220" s="14" t="n">
        <v>0</v>
      </c>
    </row>
    <row r="221">
      <c r="E221" s="14" t="n">
        <v>0</v>
      </c>
    </row>
    <row r="222">
      <c r="F222" s="14" t="n">
        <v>0</v>
      </c>
    </row>
    <row r="223">
      <c r="G223" s="14" t="n">
        <v>0</v>
      </c>
    </row>
    <row r="224">
      <c r="H224" s="14" t="n">
        <v>0</v>
      </c>
    </row>
    <row r="225">
      <c r="I225" s="14" t="n">
        <v>0</v>
      </c>
    </row>
    <row r="226">
      <c r="J226" s="14" t="n">
        <v>0</v>
      </c>
    </row>
    <row r="227">
      <c r="K227" s="14" t="n">
        <v>0</v>
      </c>
    </row>
    <row r="228">
      <c r="L228" s="18" t="n">
        <v>0</v>
      </c>
    </row>
    <row r="229">
      <c r="M229" s="18" t="n">
        <v>0</v>
      </c>
    </row>
    <row r="230">
      <c r="N230" s="18" t="n">
        <v>0</v>
      </c>
    </row>
    <row r="231">
      <c r="O231" s="18" t="n">
        <v>0</v>
      </c>
    </row>
    <row r="232">
      <c r="P232" s="18" t="n">
        <v>0</v>
      </c>
    </row>
    <row r="233">
      <c r="A233" s="19" t="inlineStr">
        <is>
          <t xml:space="preserve"> Total debt</t>
        </is>
      </c>
      <c r="B233" s="14" t="n">
        <v>22214.26</v>
      </c>
    </row>
    <row r="234">
      <c r="C234" s="14" t="n">
        <v>22370.04</v>
      </c>
    </row>
    <row r="235">
      <c r="D235" s="14" t="n">
        <v>27711.54</v>
      </c>
    </row>
    <row r="236">
      <c r="E236" s="14" t="n">
        <v>30242.32</v>
      </c>
    </row>
    <row r="237">
      <c r="F237" s="14" t="n">
        <v>35855.33</v>
      </c>
    </row>
    <row r="238">
      <c r="G238" s="14" t="n">
        <v>47934.75</v>
      </c>
    </row>
    <row r="239">
      <c r="H239" s="14" t="n">
        <v>53434.22</v>
      </c>
    </row>
    <row r="240">
      <c r="I240" s="14" t="n">
        <v>49470.24</v>
      </c>
    </row>
    <row r="241">
      <c r="J241" s="14" t="n">
        <v>51620.73</v>
      </c>
    </row>
    <row r="242">
      <c r="K242" s="14" t="n">
        <v>63565.52</v>
      </c>
    </row>
    <row r="243">
      <c r="L243" s="18" t="n">
        <v>67817.657017</v>
      </c>
    </row>
    <row r="244">
      <c r="M244" s="18" t="n">
        <v>72354.23549200001</v>
      </c>
    </row>
    <row r="245">
      <c r="N245" s="18" t="n">
        <v>77194.282786</v>
      </c>
    </row>
    <row r="246">
      <c r="O246" s="18" t="n">
        <v>82358.09907</v>
      </c>
    </row>
    <row r="247">
      <c r="P247" s="18" t="n">
        <v>87867.342473</v>
      </c>
    </row>
    <row r="248">
      <c r="A248" s="4" t="inlineStr">
        <is>
          <t>Trade payables</t>
        </is>
      </c>
      <c r="B248" s="14" t="n">
        <v>0</v>
      </c>
    </row>
    <row r="249">
      <c r="C249" s="14" t="n">
        <v>0</v>
      </c>
    </row>
    <row r="250">
      <c r="D250" s="14" t="n">
        <v>0</v>
      </c>
    </row>
    <row r="251">
      <c r="E251" s="14" t="n">
        <v>0</v>
      </c>
    </row>
    <row r="252">
      <c r="F252" s="14" t="n">
        <v>0</v>
      </c>
    </row>
    <row r="253">
      <c r="G253" s="14" t="n">
        <v>0</v>
      </c>
    </row>
    <row r="254">
      <c r="H254" s="14" t="n">
        <v>0</v>
      </c>
    </row>
    <row r="255">
      <c r="I255" s="14" t="n">
        <v>0</v>
      </c>
    </row>
    <row r="256">
      <c r="J256" s="14" t="n">
        <v>2720.5</v>
      </c>
    </row>
    <row r="257">
      <c r="K257" s="14" t="n">
        <v>2736.24</v>
      </c>
    </row>
    <row r="258">
      <c r="L258" s="18" t="n">
        <v>3324.577003</v>
      </c>
    </row>
    <row r="259">
      <c r="M259" s="18" t="n">
        <v>3757.436929</v>
      </c>
    </row>
    <row r="260">
      <c r="N260" s="18" t="n">
        <v>4301.138053</v>
      </c>
    </row>
    <row r="261">
      <c r="O261" s="18" t="n">
        <v>4938.136598</v>
      </c>
    </row>
    <row r="262">
      <c r="P262" s="18" t="n">
        <v>5535.157313</v>
      </c>
    </row>
    <row r="263">
      <c r="A263" s="4" t="inlineStr">
        <is>
          <t>Other liabilities</t>
        </is>
      </c>
      <c r="B263" s="14" t="n">
        <v>3629.13</v>
      </c>
    </row>
    <row r="264">
      <c r="C264" s="14" t="n">
        <v>3959.73</v>
      </c>
    </row>
    <row r="265">
      <c r="D265" s="14" t="n">
        <v>4227.57</v>
      </c>
    </row>
    <row r="266">
      <c r="E266" s="14" t="n">
        <v>6217.42</v>
      </c>
    </row>
    <row r="267">
      <c r="F267" s="14" t="n">
        <v>8284.870000000001</v>
      </c>
    </row>
    <row r="268">
      <c r="G268" s="14" t="n">
        <v>8571.549999999999</v>
      </c>
    </row>
    <row r="269">
      <c r="H269" s="14" t="n">
        <v>13739.58</v>
      </c>
    </row>
    <row r="270">
      <c r="I270" s="14" t="n">
        <v>14750.72</v>
      </c>
    </row>
    <row r="271">
      <c r="J271" s="14" t="n">
        <v>16832.56</v>
      </c>
    </row>
    <row r="272">
      <c r="K272" s="14" t="n">
        <v>20838</v>
      </c>
    </row>
    <row r="273">
      <c r="L273" s="18" t="n">
        <v>25744.650068</v>
      </c>
    </row>
    <row r="274">
      <c r="M274" s="18" t="n">
        <v>29096.603507</v>
      </c>
    </row>
    <row r="275">
      <c r="N275" s="18" t="n">
        <v>33306.882035</v>
      </c>
    </row>
    <row r="276">
      <c r="O276" s="18" t="n">
        <v>38239.631264</v>
      </c>
    </row>
    <row r="277">
      <c r="P277" s="18" t="n">
        <v>42862.802684</v>
      </c>
    </row>
    <row r="278">
      <c r="A278" s="19" t="inlineStr">
        <is>
          <t xml:space="preserve"> Total liabilities</t>
        </is>
      </c>
      <c r="B278" s="14" t="n">
        <v>3629.13</v>
      </c>
    </row>
    <row r="279">
      <c r="C279" s="14" t="n">
        <v>3959.73</v>
      </c>
    </row>
    <row r="280">
      <c r="D280" s="14" t="n">
        <v>4227.57</v>
      </c>
    </row>
    <row r="281">
      <c r="E281" s="14" t="n">
        <v>6217.42</v>
      </c>
    </row>
    <row r="282">
      <c r="F282" s="14" t="n">
        <v>8284.870000000001</v>
      </c>
    </row>
    <row r="283">
      <c r="G283" s="14" t="n">
        <v>8571.549999999999</v>
      </c>
    </row>
    <row r="284">
      <c r="H284" s="14" t="n">
        <v>13739.58</v>
      </c>
    </row>
    <row r="285">
      <c r="I285" s="14" t="n">
        <v>14750.72</v>
      </c>
    </row>
    <row r="286">
      <c r="J286" s="14" t="n">
        <v>19553.06</v>
      </c>
    </row>
    <row r="287">
      <c r="K287" s="14" t="n">
        <v>23574.24</v>
      </c>
    </row>
    <row r="288">
      <c r="L288" s="18" t="n">
        <v>29069.227071</v>
      </c>
    </row>
    <row r="289">
      <c r="M289" s="18" t="n">
        <v>32854.040436</v>
      </c>
    </row>
    <row r="290">
      <c r="N290" s="18" t="n">
        <v>37608.020088</v>
      </c>
    </row>
    <row r="291">
      <c r="O291" s="18" t="n">
        <v>43177.767862</v>
      </c>
    </row>
    <row r="292">
      <c r="P292" s="18" t="n">
        <v>48397.959997</v>
      </c>
    </row>
    <row r="293">
      <c r="A293" s="4" t="inlineStr">
        <is>
          <t>Total liabilities and equity</t>
        </is>
      </c>
      <c r="B293" s="14" t="n">
        <v>43369.37</v>
      </c>
    </row>
    <row r="294">
      <c r="C294" s="14" t="n">
        <v>47232.72</v>
      </c>
    </row>
    <row r="295">
      <c r="D295" s="14" t="n">
        <v>56311.43</v>
      </c>
    </row>
    <row r="296">
      <c r="E296" s="14" t="n">
        <v>61916.7</v>
      </c>
    </row>
    <row r="297">
      <c r="F297" s="14" t="n">
        <v>74581.92999999999</v>
      </c>
    </row>
    <row r="298">
      <c r="G298" s="14" t="n">
        <v>98327.99000000001</v>
      </c>
    </row>
    <row r="299">
      <c r="H299" s="14" t="n">
        <v>112563.19</v>
      </c>
    </row>
    <row r="300">
      <c r="I300" s="14" t="n">
        <v>116999.2</v>
      </c>
    </row>
    <row r="301">
      <c r="J301" s="14" t="n">
        <v>133442.65</v>
      </c>
    </row>
    <row r="302">
      <c r="K302" s="14" t="n">
        <v>183098.53</v>
      </c>
    </row>
    <row r="303">
      <c r="L303" s="18" t="n">
        <v>204584.524042</v>
      </c>
    </row>
    <row r="304">
      <c r="M304" s="18" t="n">
        <v>226631.481074</v>
      </c>
    </row>
    <row r="305">
      <c r="N305" s="18" t="n">
        <v>252519.741718</v>
      </c>
    </row>
    <row r="306">
      <c r="O306" s="18" t="n">
        <v>282562.733401</v>
      </c>
    </row>
    <row r="307">
      <c r="P307" s="18" t="n">
        <v>315237.97941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Adani Ports and Special Economic Zone Ltd - Cash Flow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16" t="inlineStr">
        <is>
          <t>CASH FROM OPERATING ACTIVITIES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</row>
    <row r="6">
      <c r="A6" s="4" t="inlineStr">
        <is>
          <t>Profit after tax</t>
        </is>
      </c>
      <c r="B6" s="14" t="n">
        <v>3911.52</v>
      </c>
    </row>
    <row r="7">
      <c r="C7" s="14" t="n">
        <v>3673.62</v>
      </c>
    </row>
    <row r="8">
      <c r="D8" s="14" t="n">
        <v>3990.22</v>
      </c>
    </row>
    <row r="9">
      <c r="E9" s="14" t="n">
        <v>3763.13</v>
      </c>
    </row>
    <row r="10">
      <c r="F10" s="14" t="n">
        <v>4994.3</v>
      </c>
    </row>
    <row r="11">
      <c r="G11" s="14" t="n">
        <v>4886.03</v>
      </c>
    </row>
    <row r="12">
      <c r="H12" s="14" t="n">
        <v>5308.85</v>
      </c>
    </row>
    <row r="13">
      <c r="I13" s="14" t="n">
        <v>8110.64</v>
      </c>
    </row>
    <row r="14">
      <c r="J14" s="14" t="n">
        <v>11092.31</v>
      </c>
    </row>
    <row r="15">
      <c r="K15" s="14" t="n">
        <v>12806.21</v>
      </c>
    </row>
    <row r="16">
      <c r="L16" s="18" t="n">
        <v>13708.573966</v>
      </c>
    </row>
    <row r="17">
      <c r="M17" s="18" t="n">
        <v>16028.623403</v>
      </c>
    </row>
    <row r="18">
      <c r="N18" s="18" t="n">
        <v>19028.297338</v>
      </c>
    </row>
    <row r="19">
      <c r="O19" s="18" t="n">
        <v>22549.420673</v>
      </c>
    </row>
    <row r="20">
      <c r="P20" s="18" t="n">
        <v>25628.170965</v>
      </c>
    </row>
    <row r="21">
      <c r="A21" s="4" t="inlineStr">
        <is>
          <t>Depreciation and amortisation</t>
        </is>
      </c>
      <c r="B21" s="14" t="n">
        <v>1160.19</v>
      </c>
    </row>
    <row r="22">
      <c r="C22" s="14" t="n">
        <v>1188.37</v>
      </c>
    </row>
    <row r="23">
      <c r="D23" s="14" t="n">
        <v>1373.48</v>
      </c>
    </row>
    <row r="24">
      <c r="E24" s="14" t="n">
        <v>1680.28</v>
      </c>
    </row>
    <row r="25">
      <c r="F25" s="14" t="n">
        <v>2107.34</v>
      </c>
    </row>
    <row r="26">
      <c r="G26" s="14" t="n">
        <v>3099.3</v>
      </c>
    </row>
    <row r="27">
      <c r="H27" s="14" t="n">
        <v>3424.71</v>
      </c>
    </row>
    <row r="28">
      <c r="I28" s="14" t="n">
        <v>3888.46</v>
      </c>
    </row>
    <row r="29">
      <c r="J29" s="14" t="n">
        <v>4378.93</v>
      </c>
    </row>
    <row r="30">
      <c r="K30" s="14" t="n">
        <v>5517.38</v>
      </c>
    </row>
    <row r="31">
      <c r="L31" s="18" t="n">
        <v>7621.656033</v>
      </c>
    </row>
    <row r="32">
      <c r="M32" s="18" t="n">
        <v>8024.294301</v>
      </c>
    </row>
    <row r="33">
      <c r="N33" s="18" t="n">
        <v>8482.729221</v>
      </c>
    </row>
    <row r="34">
      <c r="O34" s="18" t="n">
        <v>9012.961601000001</v>
      </c>
    </row>
    <row r="35">
      <c r="P35" s="18" t="n">
        <v>9623.321048</v>
      </c>
    </row>
    <row r="36">
      <c r="A36" s="4" t="inlineStr">
        <is>
          <t>(Increase)/decrease in net operating assets</t>
        </is>
      </c>
      <c r="B36" s="14" t="n">
        <v>-11034.61</v>
      </c>
    </row>
    <row r="37">
      <c r="C37" s="14" t="n">
        <v>-976.4400000000001</v>
      </c>
    </row>
    <row r="38">
      <c r="D38" s="14" t="n">
        <v>-718.3099999999999</v>
      </c>
    </row>
    <row r="39">
      <c r="E39" s="14" t="n">
        <v>1452.78</v>
      </c>
    </row>
    <row r="40">
      <c r="F40" s="14" t="n">
        <v>3904.54</v>
      </c>
    </row>
    <row r="41">
      <c r="G41" s="14" t="n">
        <v>-1980.43</v>
      </c>
    </row>
    <row r="42">
      <c r="H42" s="14" t="n">
        <v>1155.32</v>
      </c>
    </row>
    <row r="43">
      <c r="I43" s="14" t="n">
        <v>3953.11</v>
      </c>
    </row>
    <row r="44">
      <c r="J44" s="14" t="n">
        <v>2942.29</v>
      </c>
    </row>
    <row r="45">
      <c r="K45" s="14" t="n">
        <v>51.17</v>
      </c>
    </row>
    <row r="46">
      <c r="L46" s="18" t="n">
        <v>-2085.8511</v>
      </c>
    </row>
    <row r="47">
      <c r="M47" s="18" t="n">
        <v>-434.403329</v>
      </c>
    </row>
    <row r="48">
      <c r="N48" s="18" t="n">
        <v>-545.639742</v>
      </c>
    </row>
    <row r="49">
      <c r="O49" s="18" t="n">
        <v>-639.269825</v>
      </c>
    </row>
    <row r="50">
      <c r="P50" s="18" t="n">
        <v>-599.149449</v>
      </c>
    </row>
    <row r="51">
      <c r="A51" s="4" t="inlineStr">
        <is>
          <t>Cash from operations</t>
        </is>
      </c>
      <c r="B51" s="14" t="n">
        <v>-5962.9</v>
      </c>
    </row>
    <row r="52">
      <c r="C52" s="14" t="n">
        <v>3885.55</v>
      </c>
    </row>
    <row r="53">
      <c r="D53" s="14" t="n">
        <v>4645.39</v>
      </c>
    </row>
    <row r="54">
      <c r="E54" s="14" t="n">
        <v>6896.19</v>
      </c>
    </row>
    <row r="55">
      <c r="F55" s="14" t="n">
        <v>11006.18</v>
      </c>
    </row>
    <row r="56">
      <c r="G56" s="14" t="n">
        <v>6004.9</v>
      </c>
    </row>
    <row r="57">
      <c r="H57" s="14" t="n">
        <v>9888.879999999999</v>
      </c>
    </row>
    <row r="58">
      <c r="I58" s="14" t="n">
        <v>15952.21</v>
      </c>
    </row>
    <row r="59">
      <c r="J59" s="14" t="n">
        <v>18413.53</v>
      </c>
    </row>
    <row r="60">
      <c r="K60" s="14" t="n">
        <v>18374.76</v>
      </c>
    </row>
    <row r="61">
      <c r="L61" s="18" t="n">
        <v>19244.378899</v>
      </c>
    </row>
    <row r="62">
      <c r="M62" s="18" t="n">
        <v>23618.514375</v>
      </c>
    </row>
    <row r="63">
      <c r="N63" s="18" t="n">
        <v>26965.386817</v>
      </c>
    </row>
    <row r="64">
      <c r="O64" s="18" t="n">
        <v>30923.112449</v>
      </c>
    </row>
    <row r="65">
      <c r="P65" s="18" t="n">
        <v>34652.342563</v>
      </c>
    </row>
    <row r="66">
      <c r="A66" s="16" t="inlineStr">
        <is>
          <t>CASH FROM INVESTING ACTIVITIES</t>
        </is>
      </c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</row>
    <row r="67">
      <c r="A67" s="4" t="inlineStr">
        <is>
          <t>Capital expenditure</t>
        </is>
      </c>
      <c r="B67" s="14" t="n">
        <v>-4513.97</v>
      </c>
    </row>
    <row r="68">
      <c r="C68" s="14" t="n">
        <v>-2836.37</v>
      </c>
    </row>
    <row r="69">
      <c r="D69" s="14" t="n">
        <v>-6762.91</v>
      </c>
    </row>
    <row r="70">
      <c r="E70" s="14" t="n">
        <v>-5006.22</v>
      </c>
    </row>
    <row r="71">
      <c r="F71" s="14" t="n">
        <v>-18164.59</v>
      </c>
    </row>
    <row r="72">
      <c r="G72" s="14" t="n">
        <v>-17687.03</v>
      </c>
    </row>
    <row r="73">
      <c r="H73" s="14" t="n">
        <v>-15709.39</v>
      </c>
    </row>
    <row r="74">
      <c r="I74" s="14" t="n">
        <v>-11111.86</v>
      </c>
    </row>
    <row r="75">
      <c r="J75" s="14" t="n">
        <v>-19617.45</v>
      </c>
    </row>
    <row r="76">
      <c r="K76" s="14" t="n">
        <v>-48536.51</v>
      </c>
    </row>
    <row r="77">
      <c r="L77" s="18" t="n">
        <v>-19459.860919</v>
      </c>
    </row>
    <row r="78">
      <c r="M78" s="18" t="n">
        <v>-18230.971763</v>
      </c>
    </row>
    <row r="79">
      <c r="N79" s="18" t="n">
        <v>-20515.457611</v>
      </c>
    </row>
    <row r="80">
      <c r="O80" s="18" t="n">
        <v>-22922.893312</v>
      </c>
    </row>
    <row r="81">
      <c r="P81" s="18" t="n">
        <v>-23510.170478</v>
      </c>
    </row>
    <row r="82">
      <c r="A82" s="4" t="inlineStr">
        <is>
          <t>Investments</t>
        </is>
      </c>
      <c r="B82" s="14" t="n">
        <v>-1161.36</v>
      </c>
    </row>
    <row r="83">
      <c r="C83" s="14" t="n">
        <v>82.44</v>
      </c>
    </row>
    <row r="84">
      <c r="D84" s="14" t="n">
        <v>296.62</v>
      </c>
    </row>
    <row r="85">
      <c r="E85" s="14" t="n">
        <v>-395.7</v>
      </c>
    </row>
    <row r="86">
      <c r="F86" s="14" t="n">
        <v>-1058.15</v>
      </c>
    </row>
    <row r="87">
      <c r="G87" s="14" t="n">
        <v>-924.59</v>
      </c>
    </row>
    <row r="88">
      <c r="H88" s="14" t="n">
        <v>-4270.91</v>
      </c>
    </row>
    <row r="89">
      <c r="I89" s="14" t="n">
        <v>3142.99</v>
      </c>
    </row>
    <row r="90">
      <c r="J90" s="14" t="n">
        <v>-370.79</v>
      </c>
    </row>
    <row r="91">
      <c r="K91" s="14" t="n">
        <v>-789.2</v>
      </c>
    </row>
    <row r="92">
      <c r="L92" s="18" t="n">
        <v>-0</v>
      </c>
    </row>
    <row r="93">
      <c r="M93" s="18" t="n">
        <v>-0</v>
      </c>
    </row>
    <row r="94">
      <c r="N94" s="18" t="n">
        <v>-0</v>
      </c>
    </row>
    <row r="95">
      <c r="O95" s="18" t="n">
        <v>-0</v>
      </c>
    </row>
    <row r="96">
      <c r="P96" s="18" t="n">
        <v>-0</v>
      </c>
    </row>
    <row r="97">
      <c r="A97" s="4" t="inlineStr">
        <is>
          <t>Cash from investing</t>
        </is>
      </c>
      <c r="B97" s="14" t="n">
        <v>-5675.33</v>
      </c>
    </row>
    <row r="98">
      <c r="C98" s="14" t="n">
        <v>-2753.93</v>
      </c>
    </row>
    <row r="99">
      <c r="D99" s="14" t="n">
        <v>-6466.29</v>
      </c>
    </row>
    <row r="100">
      <c r="E100" s="14" t="n">
        <v>-5401.92</v>
      </c>
    </row>
    <row r="101">
      <c r="F101" s="14" t="n">
        <v>-19222.74</v>
      </c>
    </row>
    <row r="102">
      <c r="G102" s="14" t="n">
        <v>-18611.62</v>
      </c>
    </row>
    <row r="103">
      <c r="H103" s="14" t="n">
        <v>-19980.3</v>
      </c>
    </row>
    <row r="104">
      <c r="I104" s="14" t="n">
        <v>-7968.87</v>
      </c>
    </row>
    <row r="105">
      <c r="J105" s="14" t="n">
        <v>-19988.24</v>
      </c>
    </row>
    <row r="106">
      <c r="K106" s="14" t="n">
        <v>-49325.71</v>
      </c>
    </row>
    <row r="107">
      <c r="L107" s="18" t="n">
        <v>-19459.860919</v>
      </c>
    </row>
    <row r="108">
      <c r="M108" s="18" t="n">
        <v>-18230.971763</v>
      </c>
    </row>
    <row r="109">
      <c r="N109" s="18" t="n">
        <v>-20515.457611</v>
      </c>
    </row>
    <row r="110">
      <c r="O110" s="18" t="n">
        <v>-22922.893312</v>
      </c>
    </row>
    <row r="111">
      <c r="P111" s="18" t="n">
        <v>-23510.170478</v>
      </c>
    </row>
    <row r="112">
      <c r="A112" s="16" t="inlineStr">
        <is>
          <t>CASH FROM FINANCING ACTIVITIES</t>
        </is>
      </c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</row>
    <row r="113">
      <c r="A113" s="4" t="inlineStr">
        <is>
          <t>Term debt drawn/(repaid)</t>
        </is>
      </c>
      <c r="B113" s="14" t="n">
        <v>22214.26</v>
      </c>
    </row>
    <row r="114">
      <c r="C114" s="14" t="n">
        <v>155.78</v>
      </c>
    </row>
    <row r="115">
      <c r="D115" s="14" t="n">
        <v>5341.5</v>
      </c>
    </row>
    <row r="116">
      <c r="E116" s="14" t="n">
        <v>2530.78</v>
      </c>
    </row>
    <row r="117">
      <c r="F117" s="14" t="n">
        <v>5613.01</v>
      </c>
    </row>
    <row r="118">
      <c r="G118" s="14" t="n">
        <v>12079.42</v>
      </c>
    </row>
    <row r="119">
      <c r="H119" s="14" t="n">
        <v>5499.47</v>
      </c>
    </row>
    <row r="120">
      <c r="I120" s="14" t="n">
        <v>-3963.98</v>
      </c>
    </row>
    <row r="121">
      <c r="J121" s="14" t="n">
        <v>2150.49</v>
      </c>
    </row>
    <row r="122">
      <c r="K122" s="14" t="n">
        <v>11944.79</v>
      </c>
    </row>
    <row r="123">
      <c r="L123" s="18" t="n">
        <v>4252.137017</v>
      </c>
    </row>
    <row r="124">
      <c r="M124" s="18" t="n">
        <v>4536.578475</v>
      </c>
    </row>
    <row r="125">
      <c r="N125" s="18" t="n">
        <v>4840.047294</v>
      </c>
    </row>
    <row r="126">
      <c r="O126" s="18" t="n">
        <v>5163.816285</v>
      </c>
    </row>
    <row r="127">
      <c r="P127" s="18" t="n">
        <v>5509.243403</v>
      </c>
    </row>
    <row r="128">
      <c r="A128" s="4" t="inlineStr">
        <is>
          <t>Revolver drawn/(repaid)</t>
        </is>
      </c>
      <c r="B128" s="14" t="n">
        <v>0</v>
      </c>
    </row>
    <row r="129">
      <c r="C129" s="14" t="n">
        <v>0</v>
      </c>
    </row>
    <row r="130">
      <c r="D130" s="14" t="n">
        <v>0</v>
      </c>
    </row>
    <row r="131">
      <c r="E131" s="14" t="n">
        <v>0</v>
      </c>
    </row>
    <row r="132">
      <c r="F132" s="14" t="n">
        <v>0</v>
      </c>
    </row>
    <row r="133">
      <c r="G133" s="14" t="n">
        <v>0</v>
      </c>
    </row>
    <row r="134">
      <c r="H134" s="14" t="n">
        <v>0</v>
      </c>
    </row>
    <row r="135">
      <c r="I135" s="14" t="n">
        <v>0</v>
      </c>
    </row>
    <row r="136">
      <c r="J136" s="14" t="n">
        <v>0</v>
      </c>
    </row>
    <row r="137">
      <c r="K137" s="14" t="n">
        <v>0</v>
      </c>
    </row>
    <row r="138">
      <c r="L138" s="18" t="n">
        <v>0</v>
      </c>
    </row>
    <row r="139">
      <c r="M139" s="18" t="n">
        <v>0</v>
      </c>
    </row>
    <row r="140">
      <c r="N140" s="18" t="n">
        <v>0</v>
      </c>
    </row>
    <row r="141">
      <c r="O141" s="18" t="n">
        <v>0</v>
      </c>
    </row>
    <row r="142">
      <c r="P142" s="18" t="n">
        <v>0</v>
      </c>
    </row>
    <row r="143">
      <c r="A143" s="4" t="inlineStr">
        <is>
          <t>Dividends paid</t>
        </is>
      </c>
      <c r="B143" s="14" t="n">
        <v>-269.22</v>
      </c>
    </row>
    <row r="144">
      <c r="C144" s="14" t="n">
        <v>-414.19</v>
      </c>
    </row>
    <row r="145">
      <c r="D145" s="14" t="n">
        <v>-41.42</v>
      </c>
    </row>
    <row r="146">
      <c r="E146" s="14" t="n">
        <v>-650.16</v>
      </c>
    </row>
    <row r="147">
      <c r="F147" s="14" t="n">
        <v>-1015.88</v>
      </c>
    </row>
    <row r="148">
      <c r="G148" s="14" t="n">
        <v>-1056.18</v>
      </c>
    </row>
    <row r="149">
      <c r="H149" s="14" t="n">
        <v>-1080.08</v>
      </c>
    </row>
    <row r="150">
      <c r="I150" s="14" t="n">
        <v>-1296.09</v>
      </c>
    </row>
    <row r="151">
      <c r="J151" s="14" t="n">
        <v>-1512.1</v>
      </c>
    </row>
    <row r="152">
      <c r="K152" s="14" t="n">
        <v>-1727.96</v>
      </c>
    </row>
    <row r="153">
      <c r="L153" s="18" t="n">
        <v>-1969.704013</v>
      </c>
    </row>
    <row r="154">
      <c r="M154" s="18" t="n">
        <v>-2303.058211</v>
      </c>
    </row>
    <row r="155">
      <c r="N155" s="18" t="n">
        <v>-2734.063639</v>
      </c>
    </row>
    <row r="156">
      <c r="O156" s="18" t="n">
        <v>-3239.99305</v>
      </c>
    </row>
    <row r="157">
      <c r="P157" s="18" t="n">
        <v>-3682.360493</v>
      </c>
    </row>
    <row r="158">
      <c r="A158" s="4" t="inlineStr">
        <is>
          <t>Equity issued</t>
        </is>
      </c>
      <c r="B158" s="14" t="n">
        <v>0</v>
      </c>
    </row>
    <row r="159">
      <c r="C159" s="14" t="n">
        <v>0</v>
      </c>
    </row>
    <row r="160">
      <c r="D160" s="14" t="n">
        <v>0</v>
      </c>
    </row>
    <row r="161">
      <c r="E161" s="14" t="n">
        <v>0</v>
      </c>
    </row>
    <row r="162">
      <c r="F162" s="14" t="n">
        <v>0</v>
      </c>
    </row>
    <row r="163">
      <c r="G163" s="14" t="n">
        <v>0</v>
      </c>
    </row>
    <row r="164">
      <c r="H164" s="14" t="n">
        <v>0</v>
      </c>
    </row>
    <row r="165">
      <c r="I165" s="14" t="n">
        <v>0</v>
      </c>
    </row>
    <row r="166">
      <c r="J166" s="14" t="n">
        <v>0</v>
      </c>
    </row>
    <row r="167">
      <c r="K167" s="14" t="n">
        <v>0</v>
      </c>
    </row>
    <row r="168">
      <c r="L168" s="18" t="n">
        <v>0</v>
      </c>
    </row>
    <row r="169">
      <c r="M169" s="18" t="n">
        <v>0</v>
      </c>
    </row>
    <row r="170">
      <c r="N170" s="18" t="n">
        <v>0</v>
      </c>
    </row>
    <row r="171">
      <c r="O171" s="18" t="n">
        <v>0</v>
      </c>
    </row>
    <row r="172">
      <c r="P172" s="18" t="n">
        <v>0</v>
      </c>
    </row>
    <row r="173">
      <c r="A173" s="4" t="inlineStr">
        <is>
          <t>Cash from financing</t>
        </is>
      </c>
      <c r="B173" s="14" t="n">
        <v>21945.04</v>
      </c>
    </row>
    <row r="174">
      <c r="C174" s="14" t="n">
        <v>-258.41</v>
      </c>
    </row>
    <row r="175">
      <c r="D175" s="14" t="n">
        <v>5300.08</v>
      </c>
    </row>
    <row r="176">
      <c r="E176" s="14" t="n">
        <v>1880.62</v>
      </c>
    </row>
    <row r="177">
      <c r="F177" s="14" t="n">
        <v>4597.13</v>
      </c>
    </row>
    <row r="178">
      <c r="G178" s="14" t="n">
        <v>11023.24</v>
      </c>
    </row>
    <row r="179">
      <c r="H179" s="14" t="n">
        <v>4419.39</v>
      </c>
    </row>
    <row r="180">
      <c r="I180" s="14" t="n">
        <v>-5260.07</v>
      </c>
    </row>
    <row r="181">
      <c r="J181" s="14" t="n">
        <v>638.39</v>
      </c>
    </row>
    <row r="182">
      <c r="K182" s="14" t="n">
        <v>10216.83</v>
      </c>
    </row>
    <row r="183">
      <c r="L183" s="18" t="n">
        <v>2282.433004</v>
      </c>
    </row>
    <row r="184">
      <c r="M184" s="18" t="n">
        <v>2233.520264</v>
      </c>
    </row>
    <row r="185">
      <c r="N185" s="18" t="n">
        <v>2105.983655</v>
      </c>
    </row>
    <row r="186">
      <c r="O186" s="18" t="n">
        <v>1923.823234</v>
      </c>
    </row>
    <row r="187">
      <c r="P187" s="18" t="n">
        <v>1826.88291</v>
      </c>
    </row>
    <row r="188">
      <c r="A188" s="16" t="inlineStr">
        <is>
          <t>NET CHANGE IN CASH</t>
        </is>
      </c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</row>
    <row r="189">
      <c r="A189" s="4" t="inlineStr">
        <is>
          <t>Net change in cash</t>
        </is>
      </c>
      <c r="B189" s="14" t="n">
        <v>10306.81</v>
      </c>
    </row>
    <row r="190">
      <c r="C190" s="14" t="n">
        <v>873.21</v>
      </c>
    </row>
    <row r="191">
      <c r="D191" s="14" t="n">
        <v>3479.18</v>
      </c>
    </row>
    <row r="192">
      <c r="E192" s="14" t="n">
        <v>3374.89</v>
      </c>
    </row>
    <row r="193">
      <c r="F193" s="14" t="n">
        <v>-3619.43</v>
      </c>
    </row>
    <row r="194">
      <c r="G194" s="14" t="n">
        <v>-1583.48</v>
      </c>
    </row>
    <row r="195">
      <c r="H195" s="14" t="n">
        <v>-5672.03</v>
      </c>
    </row>
    <row r="196">
      <c r="I196" s="14" t="n">
        <v>2723.27</v>
      </c>
    </row>
    <row r="197">
      <c r="J197" s="14" t="n">
        <v>-936.3200000000001</v>
      </c>
    </row>
    <row r="198">
      <c r="K198" s="14" t="n">
        <v>-20734.12</v>
      </c>
    </row>
    <row r="199">
      <c r="L199" s="18" t="n">
        <v>2066.950984</v>
      </c>
    </row>
    <row r="200">
      <c r="M200" s="18" t="n">
        <v>7621.062876</v>
      </c>
    </row>
    <row r="201">
      <c r="N201" s="18" t="n">
        <v>8555.912861000001</v>
      </c>
    </row>
    <row r="202">
      <c r="O202" s="18" t="n">
        <v>9924.042371</v>
      </c>
    </row>
    <row r="203">
      <c r="P203" s="18" t="n">
        <v>12969.054996</v>
      </c>
    </row>
    <row r="204">
      <c r="A204" s="4" t="inlineStr">
        <is>
          <t>Opening cash</t>
        </is>
      </c>
      <c r="B204" s="14" t="n">
        <v>0</v>
      </c>
    </row>
    <row r="205">
      <c r="C205" s="14" t="n">
        <v>1976.8</v>
      </c>
    </row>
    <row r="206">
      <c r="D206" s="14" t="n">
        <v>2967.55</v>
      </c>
    </row>
    <row r="207">
      <c r="E207" s="14" t="n">
        <v>5967.3</v>
      </c>
    </row>
    <row r="208">
      <c r="F208" s="14" t="n">
        <v>7313.86</v>
      </c>
    </row>
    <row r="209">
      <c r="G209" s="14" t="n">
        <v>4700.78</v>
      </c>
    </row>
    <row r="210">
      <c r="H210" s="14" t="n">
        <v>10667.41</v>
      </c>
    </row>
    <row r="211">
      <c r="I211" s="14" t="n">
        <v>4334.31</v>
      </c>
    </row>
    <row r="212">
      <c r="J212" s="14" t="n">
        <v>7631.88</v>
      </c>
    </row>
    <row r="213">
      <c r="K213" s="14" t="n">
        <v>6605.97</v>
      </c>
    </row>
    <row r="214">
      <c r="L214" s="18" t="n">
        <v>8483.51</v>
      </c>
    </row>
    <row r="215">
      <c r="M215" s="18" t="n">
        <v>10550.460984</v>
      </c>
    </row>
    <row r="216">
      <c r="N216" s="18" t="n">
        <v>18171.52386</v>
      </c>
    </row>
    <row r="217">
      <c r="O217" s="18" t="n">
        <v>26727.436721</v>
      </c>
    </row>
    <row r="218">
      <c r="P218" s="18" t="n">
        <v>36651.479092</v>
      </c>
    </row>
    <row r="219">
      <c r="A219" s="4" t="inlineStr">
        <is>
          <t>Closing cash</t>
        </is>
      </c>
      <c r="B219" s="14" t="n">
        <v>10306.81</v>
      </c>
    </row>
    <row r="220">
      <c r="C220" s="14" t="n">
        <v>2850.01</v>
      </c>
    </row>
    <row r="221">
      <c r="D221" s="14" t="n">
        <v>6446.73</v>
      </c>
    </row>
    <row r="222">
      <c r="E222" s="14" t="n">
        <v>9342.190000000001</v>
      </c>
    </row>
    <row r="223">
      <c r="F223" s="14" t="n">
        <v>3694.43</v>
      </c>
    </row>
    <row r="224">
      <c r="G224" s="14" t="n">
        <v>3117.3</v>
      </c>
    </row>
    <row r="225">
      <c r="H225" s="14" t="n">
        <v>4995.38</v>
      </c>
    </row>
    <row r="226">
      <c r="I226" s="14" t="n">
        <v>7057.58</v>
      </c>
    </row>
    <row r="227">
      <c r="J227" s="14" t="n">
        <v>6695.56</v>
      </c>
    </row>
    <row r="228">
      <c r="K228" s="14" t="n">
        <v>-14128.15</v>
      </c>
    </row>
    <row r="229">
      <c r="L229" s="18" t="n">
        <v>10550.460984</v>
      </c>
    </row>
    <row r="230">
      <c r="M230" s="18" t="n">
        <v>18171.52386</v>
      </c>
    </row>
    <row r="231">
      <c r="N231" s="18" t="n">
        <v>26727.436721</v>
      </c>
    </row>
    <row r="232">
      <c r="O232" s="18" t="n">
        <v>36651.479092</v>
      </c>
    </row>
    <row r="233">
      <c r="P233" s="18" t="n">
        <v>49620.534088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Adani Ports and Special Economic Zone Ltd - Schedules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4" t="inlineStr">
        <is>
          <t>Opening net block</t>
        </is>
      </c>
      <c r="B5" s="14" t="n">
        <v>0</v>
      </c>
    </row>
    <row r="6">
      <c r="C6" s="14" t="n">
        <v>21053.5</v>
      </c>
    </row>
    <row r="7">
      <c r="D7" s="14" t="n">
        <v>22670.01</v>
      </c>
    </row>
    <row r="8">
      <c r="E8" s="14" t="n">
        <v>28121.42</v>
      </c>
    </row>
    <row r="9">
      <c r="F9" s="14" t="n">
        <v>32714.51</v>
      </c>
    </row>
    <row r="10">
      <c r="G10" s="14" t="n">
        <v>48290.96</v>
      </c>
    </row>
    <row r="11">
      <c r="H11" s="14" t="n">
        <v>62552.92</v>
      </c>
    </row>
    <row r="12">
      <c r="I12" s="14" t="n">
        <v>72223.73</v>
      </c>
    </row>
    <row r="13">
      <c r="J13" s="14" t="n">
        <v>75147.81</v>
      </c>
    </row>
    <row r="14">
      <c r="K14" s="14" t="n">
        <v>89616.32000000001</v>
      </c>
    </row>
    <row r="15">
      <c r="L15" s="18" t="n">
        <v>131652.5</v>
      </c>
    </row>
    <row r="16">
      <c r="M16" s="18" t="n">
        <v>138607.46284</v>
      </c>
    </row>
    <row r="17">
      <c r="N17" s="18" t="n">
        <v>146526.227878</v>
      </c>
    </row>
    <row r="18">
      <c r="O18" s="18" t="n">
        <v>155685.184681</v>
      </c>
    </row>
    <row r="19">
      <c r="P19" s="18" t="n">
        <v>166228.214539</v>
      </c>
    </row>
    <row r="20">
      <c r="A20" s="4" t="inlineStr">
        <is>
          <t>Capital expenditure</t>
        </is>
      </c>
      <c r="B20" s="14" t="n">
        <v>0</v>
      </c>
    </row>
    <row r="21">
      <c r="C21" s="14" t="n">
        <v>2804.88</v>
      </c>
    </row>
    <row r="22">
      <c r="D22" s="14" t="n">
        <v>6824.89</v>
      </c>
    </row>
    <row r="23">
      <c r="E23" s="14" t="n">
        <v>6273.37</v>
      </c>
    </row>
    <row r="24">
      <c r="F24" s="14" t="n">
        <v>17683.79</v>
      </c>
    </row>
    <row r="25">
      <c r="G25" s="14" t="n">
        <v>17361.26</v>
      </c>
    </row>
    <row r="26">
      <c r="H26" s="14" t="n">
        <v>13095.52</v>
      </c>
    </row>
    <row r="27">
      <c r="I27" s="14" t="n">
        <v>6812.54</v>
      </c>
    </row>
    <row r="28">
      <c r="J28" s="14" t="n">
        <v>18847.44</v>
      </c>
    </row>
    <row r="29">
      <c r="K29" s="14" t="n">
        <v>47553.56</v>
      </c>
    </row>
    <row r="30">
      <c r="L30" s="18" t="n">
        <v>14576.618873</v>
      </c>
    </row>
    <row r="31">
      <c r="M31" s="18" t="n">
        <v>15943.059339</v>
      </c>
    </row>
    <row r="32">
      <c r="N32" s="18" t="n">
        <v>17641.686024</v>
      </c>
    </row>
    <row r="33">
      <c r="O33" s="18" t="n">
        <v>19555.991458</v>
      </c>
    </row>
    <row r="34">
      <c r="P34" s="18" t="n">
        <v>20354.574338</v>
      </c>
    </row>
    <row r="35">
      <c r="A35" s="4" t="inlineStr">
        <is>
          <t>Depreciation charge</t>
        </is>
      </c>
      <c r="B35" s="14" t="n">
        <v>1160.19</v>
      </c>
    </row>
    <row r="36">
      <c r="C36" s="14" t="n">
        <v>1188.37</v>
      </c>
    </row>
    <row r="37">
      <c r="D37" s="14" t="n">
        <v>1373.48</v>
      </c>
    </row>
    <row r="38">
      <c r="E38" s="14" t="n">
        <v>1680.28</v>
      </c>
    </row>
    <row r="39">
      <c r="F39" s="14" t="n">
        <v>2107.34</v>
      </c>
    </row>
    <row r="40">
      <c r="G40" s="14" t="n">
        <v>3099.3</v>
      </c>
    </row>
    <row r="41">
      <c r="H41" s="14" t="n">
        <v>3424.71</v>
      </c>
    </row>
    <row r="42">
      <c r="I42" s="14" t="n">
        <v>3888.46</v>
      </c>
    </row>
    <row r="43">
      <c r="J43" s="14" t="n">
        <v>4378.93</v>
      </c>
    </row>
    <row r="44">
      <c r="K44" s="14" t="n">
        <v>5517.38</v>
      </c>
    </row>
    <row r="45">
      <c r="L45" s="18" t="n">
        <v>7621.656033</v>
      </c>
    </row>
    <row r="46">
      <c r="M46" s="18" t="n">
        <v>8024.294301</v>
      </c>
    </row>
    <row r="47">
      <c r="N47" s="18" t="n">
        <v>8482.729221</v>
      </c>
    </row>
    <row r="48">
      <c r="O48" s="18" t="n">
        <v>9012.961601000001</v>
      </c>
    </row>
    <row r="49">
      <c r="P49" s="18" t="n">
        <v>9623.321048</v>
      </c>
    </row>
    <row r="50">
      <c r="A50" s="4" t="inlineStr">
        <is>
          <t>Closing net block</t>
        </is>
      </c>
      <c r="B50" s="14" t="n">
        <v>-1160.19</v>
      </c>
    </row>
    <row r="51">
      <c r="C51" s="14" t="n">
        <v>22670.01</v>
      </c>
    </row>
    <row r="52">
      <c r="D52" s="14" t="n">
        <v>28121.42</v>
      </c>
    </row>
    <row r="53">
      <c r="E53" s="14" t="n">
        <v>32714.51</v>
      </c>
    </row>
    <row r="54">
      <c r="F54" s="14" t="n">
        <v>48290.96</v>
      </c>
    </row>
    <row r="55">
      <c r="G55" s="14" t="n">
        <v>62552.92</v>
      </c>
    </row>
    <row r="56">
      <c r="H56" s="14" t="n">
        <v>72223.73</v>
      </c>
    </row>
    <row r="57">
      <c r="I57" s="14" t="n">
        <v>75147.81</v>
      </c>
    </row>
    <row r="58">
      <c r="J58" s="14" t="n">
        <v>89616.32000000001</v>
      </c>
    </row>
    <row r="59">
      <c r="K59" s="14" t="n">
        <v>131652.5</v>
      </c>
    </row>
    <row r="60">
      <c r="L60" s="18" t="n">
        <v>138607.46284</v>
      </c>
    </row>
    <row r="61">
      <c r="M61" s="18" t="n">
        <v>146526.227878</v>
      </c>
    </row>
    <row r="62">
      <c r="N62" s="18" t="n">
        <v>155685.184681</v>
      </c>
    </row>
    <row r="63">
      <c r="O63" s="18" t="n">
        <v>166228.214539</v>
      </c>
    </row>
    <row r="64">
      <c r="P64" s="18" t="n">
        <v>176959.467829</v>
      </c>
    </row>
    <row r="65">
      <c r="A65" s="16" t="inlineStr">
        <is>
          <t>Net operating assets</t>
        </is>
      </c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</row>
    <row r="66">
      <c r="A66" s="4" t="inlineStr">
        <is>
          <t>Net operating assets</t>
        </is>
      </c>
      <c r="B66" s="14" t="n">
        <v>11034.61</v>
      </c>
    </row>
    <row r="67">
      <c r="C67" s="14" t="n">
        <v>12011.05</v>
      </c>
    </row>
    <row r="68">
      <c r="D68" s="14" t="n">
        <v>12729.36</v>
      </c>
    </row>
    <row r="69">
      <c r="E69" s="14" t="n">
        <v>11276.58</v>
      </c>
    </row>
    <row r="70">
      <c r="F70" s="14" t="n">
        <v>7372.04</v>
      </c>
    </row>
    <row r="71">
      <c r="G71" s="14" t="n">
        <v>9352.469999999999</v>
      </c>
    </row>
    <row r="72">
      <c r="H72" s="14" t="n">
        <v>8197.15</v>
      </c>
    </row>
    <row r="73">
      <c r="I73" s="14" t="n">
        <v>4244.04</v>
      </c>
    </row>
    <row r="74">
      <c r="J74" s="14" t="n">
        <v>1301.75</v>
      </c>
    </row>
    <row r="75">
      <c r="K75" s="14" t="n">
        <v>1250.58</v>
      </c>
    </row>
    <row r="76">
      <c r="L76" s="18" t="n">
        <v>3336.4311</v>
      </c>
    </row>
    <row r="77">
      <c r="M77" s="18" t="n">
        <v>3770.834429</v>
      </c>
    </row>
    <row r="78">
      <c r="N78" s="18" t="n">
        <v>4316.474171</v>
      </c>
    </row>
    <row r="79">
      <c r="O79" s="18" t="n">
        <v>4955.743996</v>
      </c>
    </row>
    <row r="80">
      <c r="P80" s="18" t="n">
        <v>5554.893445</v>
      </c>
    </row>
    <row r="81">
      <c r="A81" s="4" t="inlineStr">
        <is>
          <t>Change in net operating assets</t>
        </is>
      </c>
      <c r="B81" s="14" t="n">
        <v>11034.61</v>
      </c>
    </row>
    <row r="82">
      <c r="C82" s="14" t="n">
        <v>976.4400000000001</v>
      </c>
    </row>
    <row r="83">
      <c r="D83" s="14" t="n">
        <v>718.3099999999999</v>
      </c>
    </row>
    <row r="84">
      <c r="E84" s="14" t="n">
        <v>-1452.78</v>
      </c>
    </row>
    <row r="85">
      <c r="F85" s="14" t="n">
        <v>-3904.54</v>
      </c>
    </row>
    <row r="86">
      <c r="G86" s="14" t="n">
        <v>1980.43</v>
      </c>
    </row>
    <row r="87">
      <c r="H87" s="14" t="n">
        <v>-1155.32</v>
      </c>
    </row>
    <row r="88">
      <c r="I88" s="14" t="n">
        <v>-3953.11</v>
      </c>
    </row>
    <row r="89">
      <c r="J89" s="14" t="n">
        <v>-2942.29</v>
      </c>
    </row>
    <row r="90">
      <c r="K90" s="14" t="n">
        <v>-51.17</v>
      </c>
    </row>
    <row r="91">
      <c r="L91" s="18" t="n">
        <v>2085.8511</v>
      </c>
    </row>
    <row r="92">
      <c r="M92" s="18" t="n">
        <v>434.403329</v>
      </c>
    </row>
    <row r="93">
      <c r="N93" s="18" t="n">
        <v>545.639742</v>
      </c>
    </row>
    <row r="94">
      <c r="O94" s="18" t="n">
        <v>639.269825</v>
      </c>
    </row>
    <row r="95">
      <c r="P95" s="18" t="n">
        <v>599.149449</v>
      </c>
    </row>
    <row r="96">
      <c r="A96" s="4" t="inlineStr">
        <is>
          <t>Net operating assets (days)</t>
        </is>
      </c>
      <c r="B96" s="12" t="n">
        <v>477.244415</v>
      </c>
    </row>
    <row r="97">
      <c r="C97" s="12" t="n">
        <v>387.180848</v>
      </c>
    </row>
    <row r="98">
      <c r="D98" s="12" t="n">
        <v>425.265838</v>
      </c>
    </row>
    <row r="99">
      <c r="E99" s="12" t="n">
        <v>346.662801</v>
      </c>
    </row>
    <row r="100">
      <c r="F100" s="12" t="n">
        <v>214.412778</v>
      </c>
    </row>
    <row r="101">
      <c r="G101" s="12" t="n">
        <v>199.409628</v>
      </c>
    </row>
    <row r="102">
      <c r="H102" s="12" t="n">
        <v>143.486124</v>
      </c>
    </row>
    <row r="103">
      <c r="I103" s="12" t="n">
        <v>57.994838</v>
      </c>
    </row>
    <row r="104">
      <c r="J104" s="12" t="n">
        <v>15.59093</v>
      </c>
    </row>
    <row r="105">
      <c r="K105" s="12" t="n">
        <v>11.783984</v>
      </c>
    </row>
    <row r="106">
      <c r="L106" s="20" t="n">
        <v>25.898817</v>
      </c>
    </row>
    <row r="107">
      <c r="M107" s="20" t="n">
        <v>25.898817</v>
      </c>
    </row>
    <row r="108">
      <c r="N108" s="20" t="n">
        <v>25.898817</v>
      </c>
    </row>
    <row r="109">
      <c r="O109" s="20" t="n">
        <v>25.898817</v>
      </c>
    </row>
    <row r="110">
      <c r="P110" s="20" t="n">
        <v>25.898817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Integrity Checks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19" t="inlineStr">
        <is>
          <t>Balance sheet ties (forecast)</t>
        </is>
      </c>
      <c r="B5" s="21" t="n">
        <v>0</v>
      </c>
    </row>
    <row r="6">
      <c r="A6" s="19" t="inlineStr">
        <is>
          <t>Historical balance sheet ties</t>
        </is>
      </c>
      <c r="B6" s="21" t="n">
        <v>0</v>
      </c>
    </row>
    <row r="7">
      <c r="A7" s="19" t="inlineStr">
        <is>
          <t>Reserves identity (forecast)</t>
        </is>
      </c>
      <c r="B7" s="21" t="n">
        <v>0</v>
      </c>
    </row>
    <row r="8">
      <c r="A8" s="19" t="inlineStr">
        <is>
          <t>Fixed asset roll (forecast)</t>
        </is>
      </c>
      <c r="B8" s="21" t="n">
        <v>0</v>
      </c>
    </row>
    <row r="9">
      <c r="A9" s="19" t="inlineStr">
        <is>
          <t>Fixed asset roll (history)</t>
        </is>
      </c>
      <c r="B9" s="21" t="n">
        <v>0</v>
      </c>
    </row>
    <row r="10">
      <c r="A10" s="19" t="inlineStr">
        <is>
          <t>Reserves moved (history)</t>
        </is>
      </c>
      <c r="B10" s="22" t="n">
        <v>22582.9</v>
      </c>
    </row>
    <row r="11">
      <c r="A11" s="19" t="inlineStr">
        <is>
          <t>Cash &gt;= minimum balance</t>
        </is>
      </c>
      <c r="B11" s="21" t="n">
        <v>10550.461</v>
      </c>
    </row>
    <row r="12">
      <c r="A12" s="19" t="inlineStr">
        <is>
          <t>Revolver non-negative</t>
        </is>
      </c>
      <c r="B12" s="21" t="n">
        <v>0</v>
      </c>
    </row>
    <row r="13">
      <c r="A13" s="19" t="inlineStr">
        <is>
          <t>Net block non-negative</t>
        </is>
      </c>
      <c r="B13" s="21" t="n">
        <v>138607.4628</v>
      </c>
    </row>
    <row r="14">
      <c r="A14" s="19" t="inlineStr">
        <is>
          <t>Equity non-negative</t>
        </is>
      </c>
      <c r="B14" s="21" t="n">
        <v>107697.64</v>
      </c>
    </row>
    <row r="15">
      <c r="A15" s="19" t="inlineStr">
        <is>
          <t>CFO reconstruction gap</t>
        </is>
      </c>
      <c r="B15" s="21" t="n">
        <v>4415.24</v>
      </c>
    </row>
  </sheetData>
  <conditionalFormatting sqref="B5:B16">
    <cfRule type="cellIs" priority="1" operator="notBetween" dxfId="0">
      <formula>-0.01</formula>
      <formula>0.01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" t="inlineStr">
        <is>
          <t>Summary - Key Metrics</t>
        </is>
      </c>
    </row>
    <row r="3">
      <c r="A3" s="9" t="inlineStr">
        <is>
          <t>Actuals</t>
        </is>
      </c>
      <c r="B3" s="9" t="inlineStr">
        <is>
          <t>Mar-17</t>
        </is>
      </c>
      <c r="C3" s="9" t="inlineStr">
        <is>
          <t>Mar-18</t>
        </is>
      </c>
      <c r="D3" s="9" t="inlineStr">
        <is>
          <t>Mar-19</t>
        </is>
      </c>
      <c r="E3" s="9" t="inlineStr">
        <is>
          <t>Mar-20</t>
        </is>
      </c>
      <c r="F3" s="9" t="inlineStr">
        <is>
          <t>Mar-21</t>
        </is>
      </c>
      <c r="G3" s="9" t="inlineStr">
        <is>
          <t>Mar-22</t>
        </is>
      </c>
      <c r="H3" s="9" t="inlineStr">
        <is>
          <t>Mar-23</t>
        </is>
      </c>
      <c r="I3" s="9" t="inlineStr">
        <is>
          <t>Mar-24</t>
        </is>
      </c>
      <c r="J3" s="9" t="inlineStr">
        <is>
          <t>Mar-25</t>
        </is>
      </c>
      <c r="K3" s="9" t="inlineStr">
        <is>
          <t>Mar-26</t>
        </is>
      </c>
      <c r="L3" s="9" t="inlineStr">
        <is>
          <t>Mar-27E</t>
        </is>
      </c>
      <c r="M3" s="9" t="inlineStr">
        <is>
          <t>Mar-28E</t>
        </is>
      </c>
      <c r="N3" s="9" t="inlineStr">
        <is>
          <t>Mar-29E</t>
        </is>
      </c>
      <c r="O3" s="9" t="inlineStr">
        <is>
          <t>Mar-30E</t>
        </is>
      </c>
      <c r="P3" s="9" t="inlineStr">
        <is>
          <t>Mar-31E</t>
        </is>
      </c>
    </row>
    <row r="5">
      <c r="A5" s="4" t="inlineStr">
        <is>
          <t>Revenue</t>
        </is>
      </c>
      <c r="B5" s="23" t="n">
        <v>8439.35</v>
      </c>
    </row>
    <row r="6">
      <c r="C6" s="23" t="n">
        <v>11322.96</v>
      </c>
    </row>
    <row r="7">
      <c r="D7" s="23" t="n">
        <v>10925.44</v>
      </c>
    </row>
    <row r="8">
      <c r="E8" s="23" t="n">
        <v>11873.07</v>
      </c>
    </row>
    <row r="9">
      <c r="F9" s="23" t="n">
        <v>12549.6</v>
      </c>
    </row>
    <row r="10">
      <c r="G10" s="23" t="n">
        <v>17118.79</v>
      </c>
    </row>
    <row r="11">
      <c r="H11" s="23" t="n">
        <v>20851.91</v>
      </c>
    </row>
    <row r="12">
      <c r="I12" s="23" t="n">
        <v>26710.56</v>
      </c>
    </row>
    <row r="13">
      <c r="J13" s="23" t="n">
        <v>30475.33</v>
      </c>
    </row>
    <row r="14">
      <c r="K14" s="23" t="n">
        <v>38735.77</v>
      </c>
    </row>
    <row r="15">
      <c r="L15" s="24" t="n">
        <v>47021.351203</v>
      </c>
    </row>
    <row r="16">
      <c r="M16" s="24" t="n">
        <v>53143.53113</v>
      </c>
    </row>
    <row r="17">
      <c r="N17" s="24" t="n">
        <v>60833.400084</v>
      </c>
    </row>
    <row r="18">
      <c r="O18" s="24" t="n">
        <v>69842.82663700001</v>
      </c>
    </row>
    <row r="19">
      <c r="P19" s="24" t="n">
        <v>78286.824377</v>
      </c>
    </row>
    <row r="20">
      <c r="A20" s="4" t="inlineStr">
        <is>
          <t>EBITDA</t>
        </is>
      </c>
      <c r="B20" s="23" t="n">
        <v>5418.23</v>
      </c>
    </row>
    <row r="21">
      <c r="C21" s="23" t="n">
        <v>7156.67</v>
      </c>
    </row>
    <row r="22">
      <c r="D22" s="23" t="n">
        <v>6595.64</v>
      </c>
    </row>
    <row r="23">
      <c r="E23" s="23" t="n">
        <v>5947.11</v>
      </c>
    </row>
    <row r="24">
      <c r="F24" s="23" t="n">
        <v>8687.959999999999</v>
      </c>
    </row>
    <row r="25">
      <c r="G25" s="23" t="n">
        <v>9527.959999999999</v>
      </c>
    </row>
    <row r="26">
      <c r="H26" s="23" t="n">
        <v>10947.13</v>
      </c>
    </row>
    <row r="27">
      <c r="I27" s="23" t="n">
        <v>15589.41</v>
      </c>
    </row>
    <row r="28">
      <c r="J28" s="23" t="n">
        <v>18421.37</v>
      </c>
    </row>
    <row r="29">
      <c r="K29" s="23" t="n">
        <v>22868.19</v>
      </c>
    </row>
    <row r="30">
      <c r="L30" s="24" t="n">
        <v>27507.490454</v>
      </c>
    </row>
    <row r="31">
      <c r="M31" s="24" t="n">
        <v>30823.248055</v>
      </c>
    </row>
    <row r="32">
      <c r="N32" s="24" t="n">
        <v>34979.205048</v>
      </c>
    </row>
    <row r="33">
      <c r="O33" s="24" t="n">
        <v>39810.411183</v>
      </c>
    </row>
    <row r="34">
      <c r="P34" s="24" t="n">
        <v>44232.055773</v>
      </c>
    </row>
    <row r="35">
      <c r="A35" s="4" t="inlineStr">
        <is>
          <t>EBITDA margin</t>
        </is>
      </c>
      <c r="B35" s="25" t="n">
        <v>0.64202</v>
      </c>
    </row>
    <row r="36">
      <c r="C36" s="25" t="n">
        <v>0.632049</v>
      </c>
    </row>
    <row r="37">
      <c r="D37" s="25" t="n">
        <v>0.603696</v>
      </c>
    </row>
    <row r="38">
      <c r="E38" s="25" t="n">
        <v>0.500891</v>
      </c>
    </row>
    <row r="39">
      <c r="F39" s="25" t="n">
        <v>0.69229</v>
      </c>
    </row>
    <row r="40">
      <c r="G40" s="25" t="n">
        <v>0.556579</v>
      </c>
    </row>
    <row r="41">
      <c r="H41" s="25" t="n">
        <v>0.524994</v>
      </c>
    </row>
    <row r="42">
      <c r="I42" s="25" t="n">
        <v>0.583642</v>
      </c>
    </row>
    <row r="43">
      <c r="J43" s="25" t="n">
        <v>0.604468</v>
      </c>
    </row>
    <row r="44">
      <c r="K44" s="25" t="n">
        <v>0.590364</v>
      </c>
    </row>
    <row r="45">
      <c r="L45" s="26" t="n">
        <v>0.585</v>
      </c>
    </row>
    <row r="46">
      <c r="M46" s="26" t="n">
        <v>0.58</v>
      </c>
    </row>
    <row r="47">
      <c r="N47" s="26" t="n">
        <v>0.575</v>
      </c>
    </row>
    <row r="48">
      <c r="O48" s="26" t="n">
        <v>0.57</v>
      </c>
    </row>
    <row r="49">
      <c r="P49" s="26" t="n">
        <v>0.5649999999999999</v>
      </c>
    </row>
    <row r="50">
      <c r="A50" s="4" t="inlineStr">
        <is>
          <t>EBIT</t>
        </is>
      </c>
      <c r="B50" s="23" t="n">
        <v>4258.04</v>
      </c>
    </row>
    <row r="51">
      <c r="C51" s="23" t="n">
        <v>5968.3</v>
      </c>
    </row>
    <row r="52">
      <c r="D52" s="23" t="n">
        <v>5222.16</v>
      </c>
    </row>
    <row r="53">
      <c r="E53" s="23" t="n">
        <v>4266.83</v>
      </c>
    </row>
    <row r="54">
      <c r="F54" s="23" t="n">
        <v>6580.62</v>
      </c>
    </row>
    <row r="55">
      <c r="G55" s="23" t="n">
        <v>6428.66</v>
      </c>
    </row>
    <row r="56">
      <c r="H56" s="23" t="n">
        <v>7522.42</v>
      </c>
    </row>
    <row r="57">
      <c r="I57" s="23" t="n">
        <v>11700.95</v>
      </c>
    </row>
    <row r="58">
      <c r="J58" s="23" t="n">
        <v>14042.44</v>
      </c>
    </row>
    <row r="59">
      <c r="K59" s="23" t="n">
        <v>17350.81</v>
      </c>
    </row>
    <row r="60">
      <c r="L60" s="24" t="n">
        <v>19885.83442</v>
      </c>
    </row>
    <row r="61">
      <c r="M61" s="24" t="n">
        <v>22798.953755</v>
      </c>
    </row>
    <row r="62">
      <c r="N62" s="24" t="n">
        <v>26496.475827</v>
      </c>
    </row>
    <row r="63">
      <c r="O63" s="24" t="n">
        <v>30797.449582</v>
      </c>
    </row>
    <row r="64">
      <c r="P64" s="24" t="n">
        <v>34608.734725</v>
      </c>
    </row>
    <row r="65">
      <c r="A65" s="4" t="inlineStr">
        <is>
          <t>Profit after tax</t>
        </is>
      </c>
      <c r="B65" s="23" t="n">
        <v>3911.52</v>
      </c>
    </row>
    <row r="66">
      <c r="C66" s="23" t="n">
        <v>3673.62</v>
      </c>
    </row>
    <row r="67">
      <c r="D67" s="23" t="n">
        <v>3990.22</v>
      </c>
    </row>
    <row r="68">
      <c r="E68" s="23" t="n">
        <v>3763.13</v>
      </c>
    </row>
    <row r="69">
      <c r="F69" s="23" t="n">
        <v>4994.3</v>
      </c>
    </row>
    <row r="70">
      <c r="G70" s="23" t="n">
        <v>4886.03</v>
      </c>
    </row>
    <row r="71">
      <c r="H71" s="23" t="n">
        <v>5308.85</v>
      </c>
    </row>
    <row r="72">
      <c r="I72" s="23" t="n">
        <v>8110.64</v>
      </c>
    </row>
    <row r="73">
      <c r="J73" s="23" t="n">
        <v>11092.31</v>
      </c>
    </row>
    <row r="74">
      <c r="K74" s="23" t="n">
        <v>12806.21</v>
      </c>
    </row>
    <row r="75">
      <c r="L75" s="24" t="n">
        <v>13708.573966</v>
      </c>
    </row>
    <row r="76">
      <c r="M76" s="24" t="n">
        <v>16028.623403</v>
      </c>
    </row>
    <row r="77">
      <c r="N77" s="24" t="n">
        <v>19028.297338</v>
      </c>
    </row>
    <row r="78">
      <c r="O78" s="24" t="n">
        <v>22549.420673</v>
      </c>
    </row>
    <row r="79">
      <c r="P79" s="24" t="n">
        <v>25628.170965</v>
      </c>
    </row>
    <row r="80">
      <c r="A80" s="4" t="inlineStr">
        <is>
          <t>EPS (INR)</t>
        </is>
      </c>
      <c r="B80" s="23" t="n">
        <v>18.887545</v>
      </c>
    </row>
    <row r="81">
      <c r="C81" s="23" t="n">
        <v>17.738798</v>
      </c>
    </row>
    <row r="82">
      <c r="D82" s="23" t="n">
        <v>19.267564</v>
      </c>
    </row>
    <row r="83">
      <c r="E83" s="23" t="n">
        <v>18.521601</v>
      </c>
    </row>
    <row r="84">
      <c r="F84" s="23" t="n">
        <v>24.581248</v>
      </c>
    </row>
    <row r="85">
      <c r="G85" s="23" t="n">
        <v>23.130527</v>
      </c>
    </row>
    <row r="86">
      <c r="H86" s="23" t="n">
        <v>24.576428</v>
      </c>
    </row>
    <row r="87">
      <c r="I87" s="23" t="n">
        <v>37.546843</v>
      </c>
    </row>
    <row r="88">
      <c r="J88" s="23" t="n">
        <v>51.349983</v>
      </c>
    </row>
    <row r="89">
      <c r="K89" s="23" t="n">
        <v>55.583498</v>
      </c>
    </row>
    <row r="90">
      <c r="L90" s="24" t="n">
        <v>59.500078</v>
      </c>
    </row>
    <row r="91">
      <c r="M91" s="24" t="n">
        <v>69.56991600000001</v>
      </c>
    </row>
    <row r="92">
      <c r="N92" s="24" t="n">
        <v>82.589566</v>
      </c>
    </row>
    <row r="93">
      <c r="O93" s="24" t="n">
        <v>97.872491</v>
      </c>
    </row>
    <row r="94">
      <c r="P94" s="24" t="n">
        <v>111.23536</v>
      </c>
    </row>
    <row r="95">
      <c r="A95" s="4" t="inlineStr">
        <is>
          <t>FCFF</t>
        </is>
      </c>
      <c r="B95" s="23" t="n">
        <v>-5888.795029</v>
      </c>
    </row>
    <row r="96">
      <c r="C96" s="23" t="n">
        <v>1595.953647</v>
      </c>
    </row>
    <row r="97">
      <c r="D97" s="23" t="n">
        <v>-2104.820859</v>
      </c>
    </row>
    <row r="98">
      <c r="E98" s="23" t="n">
        <v>643.134546</v>
      </c>
    </row>
    <row r="99">
      <c r="F99" s="23" t="n">
        <v>-6448.52503</v>
      </c>
    </row>
    <row r="100">
      <c r="G100" s="23" t="n">
        <v>-10748.274827</v>
      </c>
    </row>
    <row r="101">
      <c r="H101" s="23" t="n">
        <v>-1237.159394</v>
      </c>
    </row>
    <row r="102">
      <c r="I102" s="23" t="n">
        <v>10875.116412</v>
      </c>
    </row>
    <row r="103">
      <c r="J103" s="23" t="n">
        <v>428.318784</v>
      </c>
    </row>
    <row r="104">
      <c r="K104" s="23" t="n">
        <v>-27020.722788</v>
      </c>
    </row>
    <row r="105">
      <c r="L105" s="24" t="n">
        <v>7166.141113</v>
      </c>
    </row>
    <row r="106">
      <c r="M106" s="24" t="n">
        <v>10227.978942</v>
      </c>
    </row>
    <row r="107">
      <c r="N107" s="24" t="n">
        <v>11890.031254</v>
      </c>
    </row>
    <row r="108">
      <c r="O108" s="24" t="n">
        <v>13917.621727</v>
      </c>
    </row>
    <row r="109">
      <c r="P109" s="24" t="n">
        <v>16875.716062</v>
      </c>
    </row>
    <row r="110">
      <c r="A110" s="4" t="inlineStr">
        <is>
          <t>Net debt</t>
        </is>
      </c>
      <c r="B110" s="23" t="n">
        <v>19076.1</v>
      </c>
    </row>
    <row r="111">
      <c r="C111" s="23" t="n">
        <v>18323.57</v>
      </c>
    </row>
    <row r="112">
      <c r="D112" s="23" t="n">
        <v>20961.94</v>
      </c>
    </row>
    <row r="113">
      <c r="E113" s="23" t="n">
        <v>21750.46</v>
      </c>
    </row>
    <row r="114">
      <c r="F114" s="23" t="n">
        <v>28918.4</v>
      </c>
    </row>
    <row r="115">
      <c r="G115" s="23" t="n">
        <v>34106.6</v>
      </c>
    </row>
    <row r="116">
      <c r="H116" s="23" t="n">
        <v>41668.26</v>
      </c>
    </row>
    <row r="117">
      <c r="I117" s="23" t="n">
        <v>37549.7</v>
      </c>
    </row>
    <row r="118">
      <c r="J118" s="23" t="n">
        <v>40355.31</v>
      </c>
    </row>
    <row r="119">
      <c r="K119" s="23" t="n">
        <v>49633.36</v>
      </c>
    </row>
    <row r="120">
      <c r="L120" s="24" t="n">
        <v>51818.546033</v>
      </c>
    </row>
    <row r="121">
      <c r="M121" s="24" t="n">
        <v>48734.061632</v>
      </c>
    </row>
    <row r="122">
      <c r="N122" s="24" t="n">
        <v>45018.196065</v>
      </c>
    </row>
    <row r="123">
      <c r="O123" s="24" t="n">
        <v>40257.969979</v>
      </c>
    </row>
    <row r="124">
      <c r="P124" s="24" t="n">
        <v>32798.158385</v>
      </c>
    </row>
    <row r="125">
      <c r="A125" s="4" t="inlineStr">
        <is>
          <t>Total debt</t>
        </is>
      </c>
      <c r="B125" s="23" t="n">
        <v>22214.26</v>
      </c>
    </row>
    <row r="126">
      <c r="C126" s="23" t="n">
        <v>22370.04</v>
      </c>
    </row>
    <row r="127">
      <c r="D127" s="23" t="n">
        <v>27711.54</v>
      </c>
    </row>
    <row r="128">
      <c r="E128" s="23" t="n">
        <v>30242.32</v>
      </c>
    </row>
    <row r="129">
      <c r="F129" s="23" t="n">
        <v>35855.33</v>
      </c>
    </row>
    <row r="130">
      <c r="G130" s="23" t="n">
        <v>47934.75</v>
      </c>
    </row>
    <row r="131">
      <c r="H131" s="23" t="n">
        <v>53434.22</v>
      </c>
    </row>
    <row r="132">
      <c r="I132" s="23" t="n">
        <v>49470.24</v>
      </c>
    </row>
    <row r="133">
      <c r="J133" s="23" t="n">
        <v>51620.73</v>
      </c>
    </row>
    <row r="134">
      <c r="K134" s="23" t="n">
        <v>63565.52</v>
      </c>
    </row>
    <row r="135">
      <c r="L135" s="24" t="n">
        <v>67817.657017</v>
      </c>
    </row>
    <row r="136">
      <c r="M136" s="24" t="n">
        <v>72354.23549200001</v>
      </c>
    </row>
    <row r="137">
      <c r="N137" s="24" t="n">
        <v>77194.282786</v>
      </c>
    </row>
    <row r="138">
      <c r="O138" s="24" t="n">
        <v>82358.09907</v>
      </c>
    </row>
    <row r="139">
      <c r="P139" s="24" t="n">
        <v>87867.342473</v>
      </c>
    </row>
    <row r="140">
      <c r="A140" s="4" t="inlineStr">
        <is>
          <t>Cash (closing)</t>
        </is>
      </c>
      <c r="B140" s="23" t="n">
        <v>10306.81</v>
      </c>
    </row>
    <row r="141">
      <c r="C141" s="23" t="n">
        <v>2850.01</v>
      </c>
    </row>
    <row r="142">
      <c r="D142" s="23" t="n">
        <v>6446.73</v>
      </c>
    </row>
    <row r="143">
      <c r="E143" s="23" t="n">
        <v>9342.190000000001</v>
      </c>
    </row>
    <row r="144">
      <c r="F144" s="23" t="n">
        <v>3694.43</v>
      </c>
    </row>
    <row r="145">
      <c r="G145" s="23" t="n">
        <v>3117.3</v>
      </c>
    </row>
    <row r="146">
      <c r="H146" s="23" t="n">
        <v>4995.38</v>
      </c>
    </row>
    <row r="147">
      <c r="I147" s="23" t="n">
        <v>7057.58</v>
      </c>
    </row>
    <row r="148">
      <c r="J148" s="23" t="n">
        <v>6695.56</v>
      </c>
    </row>
    <row r="149">
      <c r="K149" s="23" t="n">
        <v>-14128.15</v>
      </c>
    </row>
    <row r="150">
      <c r="L150" s="24" t="n">
        <v>10550.460984</v>
      </c>
    </row>
    <row r="151">
      <c r="M151" s="24" t="n">
        <v>18171.52386</v>
      </c>
    </row>
    <row r="152">
      <c r="N152" s="24" t="n">
        <v>26727.436721</v>
      </c>
    </row>
    <row r="153">
      <c r="O153" s="24" t="n">
        <v>36651.479092</v>
      </c>
    </row>
    <row r="154">
      <c r="P154" s="24" t="n">
        <v>49620.534088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8" t="inlineStr">
        <is>
          <t>Scenario Comparison</t>
        </is>
      </c>
    </row>
    <row r="3">
      <c r="A3" s="27" t="inlineStr">
        <is>
          <t>Driver / case</t>
        </is>
      </c>
      <c r="B3" s="9" t="inlineStr">
        <is>
          <t>Case</t>
        </is>
      </c>
      <c r="C3" s="9" t="inlineStr">
        <is>
          <t>Mar-27E</t>
        </is>
      </c>
      <c r="D3" s="9" t="inlineStr">
        <is>
          <t>Mar-28E</t>
        </is>
      </c>
      <c r="E3" s="9" t="inlineStr">
        <is>
          <t>Mar-29E</t>
        </is>
      </c>
      <c r="F3" s="9" t="inlineStr">
        <is>
          <t>Mar-30E</t>
        </is>
      </c>
      <c r="G3" s="9" t="inlineStr">
        <is>
          <t>Mar-31E</t>
        </is>
      </c>
    </row>
    <row r="4">
      <c r="A4" s="4" t="inlineStr">
        <is>
          <t>Revenue growth</t>
        </is>
      </c>
      <c r="B4" s="28" t="inlineStr">
        <is>
          <t>bull</t>
        </is>
      </c>
      <c r="C4" s="29" t="n">
        <v>0.24</v>
      </c>
      <c r="D4" s="29" t="n">
        <v>0.16</v>
      </c>
      <c r="E4" s="29" t="n">
        <v>0.17</v>
      </c>
      <c r="F4" s="29" t="n">
        <v>0.17</v>
      </c>
      <c r="G4" s="29" t="n">
        <v>0.15</v>
      </c>
    </row>
    <row r="5">
      <c r="B5" s="30" t="inlineStr">
        <is>
          <t>base</t>
        </is>
      </c>
      <c r="C5" s="31" t="n">
        <v>0.2139</v>
      </c>
      <c r="D5" s="31" t="n">
        <v>0.1302</v>
      </c>
      <c r="E5" s="31" t="n">
        <v>0.1447</v>
      </c>
      <c r="F5" s="31" t="n">
        <v>0.1481</v>
      </c>
      <c r="G5" s="31" t="n">
        <v>0.1209</v>
      </c>
    </row>
    <row r="6">
      <c r="B6" s="32" t="inlineStr">
        <is>
          <t>bear</t>
        </is>
      </c>
      <c r="C6" s="33" t="n">
        <v>0.16</v>
      </c>
      <c r="D6" s="33" t="n">
        <v>0.08</v>
      </c>
      <c r="E6" s="33" t="n">
        <v>0.08</v>
      </c>
      <c r="F6" s="33" t="n">
        <v>0.08</v>
      </c>
      <c r="G6" s="33" t="n">
        <v>0.07000000000000001</v>
      </c>
    </row>
    <row r="8">
      <c r="A8" s="4" t="inlineStr">
        <is>
          <t>EBITDA margin</t>
        </is>
      </c>
      <c r="B8" s="28" t="inlineStr">
        <is>
          <t>bull</t>
        </is>
      </c>
      <c r="C8" s="29" t="n">
        <v>0.595</v>
      </c>
      <c r="D8" s="29" t="n">
        <v>0.595</v>
      </c>
      <c r="E8" s="29" t="n">
        <v>0.59</v>
      </c>
      <c r="F8" s="29" t="n">
        <v>0.59</v>
      </c>
      <c r="G8" s="29" t="n">
        <v>0.585</v>
      </c>
    </row>
    <row r="9">
      <c r="B9" s="32" t="inlineStr">
        <is>
          <t>bear</t>
        </is>
      </c>
      <c r="C9" s="33" t="n">
        <v>0.57</v>
      </c>
      <c r="D9" s="33" t="n">
        <v>0.555</v>
      </c>
      <c r="E9" s="33" t="n">
        <v>0.54</v>
      </c>
      <c r="F9" s="33" t="n">
        <v>0.53</v>
      </c>
      <c r="G9" s="33" t="n">
        <v>0.52</v>
      </c>
    </row>
    <row r="11">
      <c r="A11" s="4" t="inlineStr">
        <is>
          <t>EBIT margin</t>
        </is>
      </c>
      <c r="B11" s="28" t="inlineStr">
        <is>
          <t>bull</t>
        </is>
      </c>
      <c r="C11" s="29" t="n">
        <v>0.44</v>
      </c>
      <c r="D11" s="29" t="n">
        <v>0.435</v>
      </c>
      <c r="E11" s="29" t="n">
        <v>0.43</v>
      </c>
      <c r="F11" s="29" t="n">
        <v>0.425</v>
      </c>
      <c r="G11" s="29" t="n">
        <v>0.42</v>
      </c>
    </row>
    <row r="12">
      <c r="B12" s="30" t="inlineStr">
        <is>
          <t>base</t>
        </is>
      </c>
      <c r="C12" s="31" t="n">
        <v>0.44</v>
      </c>
      <c r="D12" s="31" t="n">
        <v>0.435</v>
      </c>
      <c r="E12" s="31" t="n">
        <v>0.43</v>
      </c>
      <c r="F12" s="31" t="n">
        <v>0.425</v>
      </c>
      <c r="G12" s="31" t="n">
        <v>0.42</v>
      </c>
    </row>
    <row r="13">
      <c r="B13" s="32" t="inlineStr">
        <is>
          <t>bear</t>
        </is>
      </c>
      <c r="C13" s="33" t="n">
        <v>0.44</v>
      </c>
      <c r="D13" s="33" t="n">
        <v>0.435</v>
      </c>
      <c r="E13" s="33" t="n">
        <v>0.43</v>
      </c>
      <c r="F13" s="33" t="n">
        <v>0.425</v>
      </c>
      <c r="G13" s="33" t="n">
        <v>0.42</v>
      </c>
    </row>
    <row r="15">
      <c r="A15" s="4" t="inlineStr">
        <is>
          <t>Capex / sales</t>
        </is>
      </c>
      <c r="B15" s="28" t="inlineStr">
        <is>
          <t>bull</t>
        </is>
      </c>
      <c r="C15" s="29" t="n">
        <v>0.3</v>
      </c>
      <c r="D15" s="29" t="n">
        <v>0.28</v>
      </c>
      <c r="E15" s="29" t="n">
        <v>0.27</v>
      </c>
      <c r="F15" s="29" t="n">
        <v>0.25</v>
      </c>
      <c r="G15" s="29" t="n">
        <v>0.23</v>
      </c>
    </row>
    <row r="16">
      <c r="B16" s="30" t="inlineStr">
        <is>
          <t>base</t>
        </is>
      </c>
      <c r="C16" s="31" t="n">
        <v>0.31</v>
      </c>
      <c r="D16" s="31" t="n">
        <v>0.3</v>
      </c>
      <c r="E16" s="31" t="n">
        <v>0.29</v>
      </c>
      <c r="F16" s="31" t="n">
        <v>0.28</v>
      </c>
      <c r="G16" s="31" t="n">
        <v>0.26</v>
      </c>
    </row>
    <row r="17">
      <c r="B17" s="32" t="inlineStr">
        <is>
          <t>bear</t>
        </is>
      </c>
      <c r="C17" s="33" t="n">
        <v>0.34</v>
      </c>
      <c r="D17" s="33" t="n">
        <v>0.34</v>
      </c>
      <c r="E17" s="33" t="n">
        <v>0.33</v>
      </c>
      <c r="F17" s="33" t="n">
        <v>0.32</v>
      </c>
      <c r="G17" s="33" t="n">
        <v>0.3</v>
      </c>
    </row>
    <row r="19">
      <c r="A19" s="4" t="inlineStr">
        <is>
          <t>Terminal growth</t>
        </is>
      </c>
      <c r="B19" s="28" t="inlineStr">
        <is>
          <t>bull</t>
        </is>
      </c>
      <c r="C19" s="29" t="n">
        <v>0.055</v>
      </c>
      <c r="D19" s="29" t="n">
        <v>0.055</v>
      </c>
      <c r="E19" s="29" t="n">
        <v>0.055</v>
      </c>
      <c r="F19" s="29" t="n">
        <v>0.055</v>
      </c>
      <c r="G19" s="29" t="n">
        <v>0.055</v>
      </c>
    </row>
    <row r="20">
      <c r="B20" s="30" t="inlineStr">
        <is>
          <t>base</t>
        </is>
      </c>
      <c r="C20" s="31" t="n">
        <v>0.05</v>
      </c>
      <c r="D20" s="31" t="n">
        <v>0.05</v>
      </c>
      <c r="E20" s="31" t="n">
        <v>0.05</v>
      </c>
      <c r="F20" s="31" t="n">
        <v>0.05</v>
      </c>
      <c r="G20" s="31" t="n">
        <v>0.05</v>
      </c>
    </row>
    <row r="21">
      <c r="B21" s="32" t="inlineStr">
        <is>
          <t>bear</t>
        </is>
      </c>
      <c r="C21" s="33" t="n">
        <v>0.035</v>
      </c>
      <c r="D21" s="33" t="n">
        <v>0.035</v>
      </c>
      <c r="E21" s="33" t="n">
        <v>0.035</v>
      </c>
      <c r="F21" s="33" t="n">
        <v>0.035</v>
      </c>
      <c r="G21" s="33" t="n">
        <v>0.035</v>
      </c>
    </row>
    <row r="23">
      <c r="A23" s="4" t="inlineStr">
        <is>
          <t>Probability</t>
        </is>
      </c>
      <c r="C23" s="4" t="inlineStr">
        <is>
          <t>INR / share</t>
        </is>
      </c>
      <c r="D23" s="4" t="inlineStr">
        <is>
          <t>TV % of EV</t>
        </is>
      </c>
    </row>
    <row r="24">
      <c r="A24" s="28" t="inlineStr">
        <is>
          <t>bull</t>
        </is>
      </c>
      <c r="B24" s="34" t="n">
        <v>0.25</v>
      </c>
      <c r="C24" t="n">
        <v>896</v>
      </c>
      <c r="D24" s="34" t="n">
        <v>0.7859999999999999</v>
      </c>
    </row>
    <row r="25">
      <c r="A25" s="30" t="inlineStr">
        <is>
          <t>base</t>
        </is>
      </c>
      <c r="B25" s="34" t="n">
        <v>0.5</v>
      </c>
      <c r="C25" t="n">
        <v>641</v>
      </c>
      <c r="D25" s="34" t="n">
        <v>0.762</v>
      </c>
    </row>
    <row r="26">
      <c r="A26" s="32" t="inlineStr">
        <is>
          <t>bear</t>
        </is>
      </c>
      <c r="B26" s="34" t="n">
        <v>0.25</v>
      </c>
      <c r="C26" t="n">
        <v>297</v>
      </c>
      <c r="D26" s="34" t="n">
        <v>0.706</v>
      </c>
    </row>
    <row r="28">
      <c r="A28" s="35" t="inlineStr">
        <is>
          <t>Rationale</t>
        </is>
      </c>
    </row>
    <row r="29" ht="60" customHeight="1">
      <c r="A29" s="36" t="inlineStr">
        <is>
          <t>bull: 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      </is>
      </c>
    </row>
    <row r="30" ht="60" customHeight="1">
      <c r="A30" s="36" t="inlineStr">
        <is>
          <t>base: The assumption set above as recommended.</t>
        </is>
      </c>
    </row>
    <row r="31" ht="60" customHeight="1">
      <c r="A31" s="36" t="inlineStr">
        <is>
          <t>bear: 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      </is>
      </c>
    </row>
  </sheetData>
  <mergeCells count="3">
    <mergeCell ref="A31:G31"/>
    <mergeCell ref="A30:G30"/>
    <mergeCell ref="A29:G2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8" t="inlineStr">
        <is>
          <t>DCF Valuation Summary</t>
        </is>
      </c>
    </row>
    <row r="3">
      <c r="A3" s="3" t="inlineStr">
        <is>
          <t>WACC build (model.py)</t>
        </is>
      </c>
    </row>
    <row r="4">
      <c r="A4" s="4" t="inlineStr">
        <is>
          <t>Risk-free rate</t>
        </is>
      </c>
      <c r="B4" s="37" t="n">
        <v>0.0678</v>
      </c>
    </row>
    <row r="5">
      <c r="A5" s="4" t="inlineStr">
        <is>
          <t>Equity risk premium</t>
        </is>
      </c>
      <c r="B5" s="37" t="n">
        <v>0.055</v>
      </c>
    </row>
    <row r="6">
      <c r="A6" s="4" t="inlineStr">
        <is>
          <t>Beta</t>
        </is>
      </c>
      <c r="B6" s="38" t="n">
        <v>1.2</v>
      </c>
    </row>
    <row r="7">
      <c r="A7" s="4" t="inlineStr">
        <is>
          <t>Cost of equity (CAPM)</t>
        </is>
      </c>
      <c r="B7" s="37" t="n">
        <v>0.1339</v>
      </c>
    </row>
    <row r="8">
      <c r="A8" s="4" t="inlineStr">
        <is>
          <t>Cost of debt (pre-tax)</t>
        </is>
      </c>
      <c r="B8" s="37" t="n">
        <v>0.08</v>
      </c>
    </row>
    <row r="9">
      <c r="A9" s="4" t="inlineStr">
        <is>
          <t>Tax rate</t>
        </is>
      </c>
      <c r="B9" s="37" t="n">
        <v>0.185</v>
      </c>
    </row>
    <row r="10">
      <c r="A10" s="4" t="inlineStr">
        <is>
          <t>Cost of debt (post-tax)</t>
        </is>
      </c>
      <c r="B10" s="37" t="n">
        <v>0.06519999999999999</v>
      </c>
    </row>
    <row r="11">
      <c r="A11" s="4" t="inlineStr">
        <is>
          <t>Target debt weight</t>
        </is>
      </c>
      <c r="B11" s="37" t="n">
        <v>0.12</v>
      </c>
    </row>
    <row r="12">
      <c r="A12" s="4" t="inlineStr">
        <is>
          <t>WACC</t>
        </is>
      </c>
      <c r="B12" s="37" t="n">
        <v>0.1256</v>
      </c>
    </row>
    <row r="13">
      <c r="A13" s="4" t="inlineStr">
        <is>
          <t>Discounting</t>
        </is>
      </c>
      <c r="B13" s="5" t="inlineStr">
        <is>
          <t>mid-year</t>
        </is>
      </c>
    </row>
    <row r="14">
      <c r="A14" s="4" t="inlineStr">
        <is>
          <t xml:space="preserve">  Input beta</t>
        </is>
      </c>
      <c r="B14" s="39" t="n">
        <v>1.3</v>
      </c>
    </row>
    <row r="15">
      <c r="A15" s="4" t="inlineStr">
        <is>
          <t xml:space="preserve">  Blume-adjusted beta</t>
        </is>
      </c>
      <c r="B15" s="39" t="n">
        <v>1.201</v>
      </c>
    </row>
    <row r="17">
      <c r="A17" s="3" t="inlineStr">
        <is>
          <t>Three-statement FCFF bridge (INR Cr)</t>
        </is>
      </c>
    </row>
    <row r="18">
      <c r="A18" s="27" t="inlineStr">
        <is>
          <t>Line</t>
        </is>
      </c>
      <c r="B18" s="27" t="inlineStr">
        <is>
          <t>Mar-27E</t>
        </is>
      </c>
      <c r="C18" s="27" t="inlineStr">
        <is>
          <t>Mar-28E</t>
        </is>
      </c>
      <c r="D18" s="27" t="inlineStr">
        <is>
          <t>Mar-29E</t>
        </is>
      </c>
      <c r="E18" s="27" t="inlineStr">
        <is>
          <t>Mar-30E</t>
        </is>
      </c>
      <c r="F18" s="27" t="inlineStr">
        <is>
          <t>Mar-31E</t>
        </is>
      </c>
    </row>
    <row r="19">
      <c r="A19" s="5" t="inlineStr">
        <is>
          <t>revenue</t>
        </is>
      </c>
      <c r="B19" s="40" t="n">
        <v>47021.3512</v>
      </c>
      <c r="C19" s="40" t="n">
        <v>53143.5311</v>
      </c>
      <c r="D19" s="40" t="n">
        <v>60833.4001</v>
      </c>
      <c r="E19" s="40" t="n">
        <v>69842.8266</v>
      </c>
      <c r="F19" s="40" t="n">
        <v>78286.8244</v>
      </c>
    </row>
    <row r="20">
      <c r="A20" s="5" t="inlineStr">
        <is>
          <t>ebitda</t>
        </is>
      </c>
      <c r="B20" s="40" t="n">
        <v>27507.4905</v>
      </c>
      <c r="C20" s="40" t="n">
        <v>30823.2481</v>
      </c>
      <c r="D20" s="40" t="n">
        <v>34979.205</v>
      </c>
      <c r="E20" s="40" t="n">
        <v>39810.4112</v>
      </c>
      <c r="F20" s="40" t="n">
        <v>44232.0558</v>
      </c>
    </row>
    <row r="21">
      <c r="A21" s="5" t="inlineStr">
        <is>
          <t>ebit</t>
        </is>
      </c>
      <c r="B21" s="40" t="n">
        <v>19885.8344</v>
      </c>
      <c r="C21" s="40" t="n">
        <v>22798.9538</v>
      </c>
      <c r="D21" s="40" t="n">
        <v>26496.4758</v>
      </c>
      <c r="E21" s="40" t="n">
        <v>30797.4496</v>
      </c>
      <c r="F21" s="40" t="n">
        <v>34608.7347</v>
      </c>
    </row>
    <row r="22">
      <c r="A22" s="5" t="inlineStr">
        <is>
          <t>depreciation</t>
        </is>
      </c>
      <c r="B22" s="40" t="n">
        <v>7621.656</v>
      </c>
      <c r="C22" s="40" t="n">
        <v>8024.2943</v>
      </c>
      <c r="D22" s="40" t="n">
        <v>8482.7292</v>
      </c>
      <c r="E22" s="40" t="n">
        <v>9012.961600000001</v>
      </c>
      <c r="F22" s="40" t="n">
        <v>9623.321</v>
      </c>
    </row>
    <row r="23">
      <c r="A23" s="5" t="inlineStr">
        <is>
          <t>capex</t>
        </is>
      </c>
      <c r="B23" s="40" t="n">
        <v>14576.6189</v>
      </c>
      <c r="C23" s="40" t="n">
        <v>15943.0593</v>
      </c>
      <c r="D23" s="40" t="n">
        <v>17641.686</v>
      </c>
      <c r="E23" s="40" t="n">
        <v>19555.9915</v>
      </c>
      <c r="F23" s="40" t="n">
        <v>20354.5743</v>
      </c>
    </row>
    <row r="24">
      <c r="A24" s="5" t="inlineStr">
        <is>
          <t>change_in_nwc</t>
        </is>
      </c>
      <c r="B24" s="40" t="n">
        <v>2085.8511</v>
      </c>
      <c r="C24" s="40" t="n">
        <v>434.4033</v>
      </c>
      <c r="D24" s="40" t="n">
        <v>545.6396999999999</v>
      </c>
      <c r="E24" s="40" t="n">
        <v>639.2698</v>
      </c>
      <c r="F24" s="40" t="n">
        <v>599.1494</v>
      </c>
    </row>
    <row r="25">
      <c r="A25" s="5" t="inlineStr">
        <is>
          <t>tax_rate</t>
        </is>
      </c>
      <c r="B25" s="25" t="n">
        <v>0.185</v>
      </c>
      <c r="C25" s="25" t="n">
        <v>0.185</v>
      </c>
      <c r="D25" s="25" t="n">
        <v>0.185</v>
      </c>
      <c r="E25" s="25" t="n">
        <v>0.185</v>
      </c>
      <c r="F25" s="25" t="n">
        <v>0.185</v>
      </c>
    </row>
    <row r="26">
      <c r="A26" s="4" t="inlineStr">
        <is>
          <t>fcff</t>
        </is>
      </c>
      <c r="B26" s="40" t="n">
        <v>7166.1411</v>
      </c>
      <c r="C26" s="40" t="n">
        <v>10227.9789</v>
      </c>
      <c r="D26" s="40" t="n">
        <v>11890.0313</v>
      </c>
      <c r="E26" s="40" t="n">
        <v>13917.6217</v>
      </c>
      <c r="F26" s="40" t="n">
        <v>16875.7161</v>
      </c>
    </row>
    <row r="27">
      <c r="A27" s="5" t="inlineStr">
        <is>
          <t>fcfe</t>
        </is>
      </c>
      <c r="B27" s="40" t="n">
        <v>8919.897000000001</v>
      </c>
      <c r="C27" s="40" t="n">
        <v>12212.0335</v>
      </c>
      <c r="D27" s="40" t="n">
        <v>14163.7481</v>
      </c>
      <c r="E27" s="40" t="n">
        <v>16530.9373</v>
      </c>
      <c r="F27" s="40" t="n">
        <v>19807.0116</v>
      </c>
    </row>
    <row r="28">
      <c r="A28" s="5" t="inlineStr">
        <is>
          <t>net_debt_close</t>
        </is>
      </c>
      <c r="B28" s="40" t="n">
        <v>51818.546</v>
      </c>
      <c r="C28" s="40" t="n">
        <v>48734.0616</v>
      </c>
      <c r="D28" s="40" t="n">
        <v>45018.1961</v>
      </c>
      <c r="E28" s="40" t="n">
        <v>40257.97</v>
      </c>
      <c r="F28" s="40" t="n">
        <v>32798.1584</v>
      </c>
    </row>
    <row r="29">
      <c r="A29" s="5" t="inlineStr">
        <is>
          <t>shares</t>
        </is>
      </c>
      <c r="B29" s="40" t="n">
        <v>230.3959</v>
      </c>
      <c r="C29" s="40" t="n">
        <v>230.3959</v>
      </c>
      <c r="D29" s="40" t="n">
        <v>230.3959</v>
      </c>
      <c r="E29" s="40" t="n">
        <v>230.3959</v>
      </c>
      <c r="F29" s="40" t="n">
        <v>230.3959</v>
      </c>
    </row>
    <row r="30">
      <c r="A30" s="5" t="inlineStr">
        <is>
          <t>eps</t>
        </is>
      </c>
      <c r="B30" s="40" t="n">
        <v>59.5001</v>
      </c>
      <c r="C30" s="40" t="n">
        <v>69.5699</v>
      </c>
      <c r="D30" s="40" t="n">
        <v>82.5896</v>
      </c>
      <c r="E30" s="40" t="n">
        <v>97.8725</v>
      </c>
      <c r="F30" s="40" t="n">
        <v>111.2354</v>
      </c>
    </row>
    <row r="31">
      <c r="A31" s="5" t="inlineStr">
        <is>
          <t>bvps</t>
        </is>
      </c>
      <c r="B31" s="40" t="n">
        <v>467.446</v>
      </c>
      <c r="C31" s="40" t="n">
        <v>527.0198</v>
      </c>
      <c r="D31" s="40" t="n">
        <v>597.7426</v>
      </c>
      <c r="E31" s="40" t="n">
        <v>681.5522999999999</v>
      </c>
      <c r="F31" s="40" t="n">
        <v>776.8049999999999</v>
      </c>
    </row>
    <row r="33">
      <c r="A33" s="3" t="inlineStr">
        <is>
          <t>Enterprise value to equity value (model.py)</t>
        </is>
      </c>
    </row>
    <row r="34">
      <c r="A34" s="4" t="inlineStr">
        <is>
          <t>PV of explicit FCFF</t>
        </is>
      </c>
      <c r="B34" s="41" t="n">
        <v>44518</v>
      </c>
    </row>
    <row r="35">
      <c r="A35" s="4" t="inlineStr">
        <is>
          <t>Terminal value</t>
        </is>
      </c>
      <c r="B35" s="41" t="n">
        <v>242978</v>
      </c>
    </row>
    <row r="36">
      <c r="A36" s="4" t="inlineStr">
        <is>
          <t>PV of terminal value</t>
        </is>
      </c>
      <c r="B36" s="41" t="n">
        <v>142663</v>
      </c>
    </row>
    <row r="37">
      <c r="A37" s="4" t="inlineStr">
        <is>
          <t>TV as % of EV</t>
        </is>
      </c>
      <c r="B37" s="42" t="n">
        <v>76.2</v>
      </c>
    </row>
    <row r="38">
      <c r="A38" s="4" t="inlineStr">
        <is>
          <t>Enterprise value</t>
        </is>
      </c>
      <c r="B38" s="41" t="n">
        <v>187180</v>
      </c>
    </row>
    <row r="39">
      <c r="A39" s="4" t="inlineStr">
        <is>
          <t>Less: net debt</t>
        </is>
      </c>
      <c r="B39" s="41" t="n">
        <v>-42910</v>
      </c>
    </row>
    <row r="40">
      <c r="A40" s="4" t="inlineStr">
        <is>
          <t>Add: non-operating assets</t>
        </is>
      </c>
      <c r="B40" s="41" t="n">
        <v>3341</v>
      </c>
    </row>
    <row r="41">
      <c r="A41" s="4" t="inlineStr">
        <is>
          <t>Equity value</t>
        </is>
      </c>
      <c r="B41" s="41" t="n">
        <v>147611</v>
      </c>
    </row>
    <row r="42">
      <c r="A42" s="4" t="inlineStr">
        <is>
          <t>Shares outstanding (Cr)</t>
        </is>
      </c>
      <c r="B42" s="42" t="n">
        <v>230.4</v>
      </c>
    </row>
    <row r="43">
      <c r="A43" s="4" t="inlineStr">
        <is>
          <t>Intrinsic value per share (INR)</t>
        </is>
      </c>
      <c r="B43" s="41" t="n">
        <v>641</v>
      </c>
    </row>
    <row r="44">
      <c r="A44" s="4" t="inlineStr">
        <is>
          <t>Current market price (INR)</t>
        </is>
      </c>
      <c r="B44" s="41" t="n">
        <v>1695</v>
      </c>
    </row>
    <row r="45">
      <c r="A45" s="4" t="inlineStr">
        <is>
          <t>Upside / (downside) %</t>
        </is>
      </c>
      <c r="B45" s="42" t="n">
        <v>-62.2</v>
      </c>
    </row>
    <row r="47">
      <c r="A47" s="3" t="inlineStr">
        <is>
          <t>Terminal value cross-check</t>
        </is>
      </c>
    </row>
    <row r="48">
      <c r="A48" s="4" t="inlineStr">
        <is>
          <t>Terminal-year EBITDA</t>
        </is>
      </c>
      <c r="B48" s="43" t="n">
        <v>44780</v>
      </c>
    </row>
    <row r="49">
      <c r="A49" s="4" t="inlineStr">
        <is>
          <t>Gordon-Growth terminal value</t>
        </is>
      </c>
      <c r="B49" s="43" t="n">
        <v>242978</v>
      </c>
    </row>
    <row r="50">
      <c r="A50" s="4" t="inlineStr">
        <is>
          <t>Implied exit EV/EBITDA (x)</t>
        </is>
      </c>
      <c r="B50" s="43" t="n">
        <v>5.4</v>
      </c>
    </row>
    <row r="51">
      <c r="A51" s="4" t="inlineStr">
        <is>
          <t>Exit multiple supplied (x)</t>
        </is>
      </c>
      <c r="B51" s="43" t="n">
        <v>14</v>
      </c>
    </row>
    <row r="52">
      <c r="A52" s="4" t="inlineStr">
        <is>
          <t>Terminal value at exit multiple</t>
        </is>
      </c>
      <c r="B52" s="43" t="n">
        <v>626921</v>
      </c>
    </row>
    <row r="53">
      <c r="A53" s="4" t="inlineStr">
        <is>
          <t>Value per share at exit multiple</t>
        </is>
      </c>
      <c r="B53" s="43" t="n">
        <v>1619</v>
      </c>
    </row>
    <row r="54">
      <c r="A54" s="4" t="inlineStr">
        <is>
          <t>Perpetuity vs exit-multiple gap %</t>
        </is>
      </c>
      <c r="B54" s="43" t="n">
        <v>-61.2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Sensitivity - Equity Value per Share (INR)</t>
        </is>
      </c>
    </row>
    <row r="3">
      <c r="A3" t="inlineStr">
        <is>
          <t>No sensitivity data available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2026-10-04T07:44:05Z</dcterms:created>
  <dcterms:modified xmlns:dcterms="http://purl.org/dc/terms/" xmlns:xsi="http://www.w3.org/2001/XMLSchema-instance" xsi:type="dcterms:W3CDTF">2026-10-04T07:44:05Z</dcterms:modified>
</cp:coreProperties>
</file>