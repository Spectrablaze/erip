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ashboard" sheetId="1" state="visible" r:id="rId3"/>
    <sheet name="Model info" sheetId="2" state="visible" r:id="rId4"/>
    <sheet name="Summary" sheetId="3" state="visible" r:id="rId5"/>
    <sheet name="Scenarios" sheetId="4" state="visible" r:id="rId6"/>
    <sheet name="Drivers" sheetId="5" state="visible" r:id="rId7"/>
    <sheet name="Income Statement" sheetId="6" state="visible" r:id="rId8"/>
    <sheet name="Balance Sheet" sheetId="7" state="visible" r:id="rId9"/>
    <sheet name="Cash Flow" sheetId="8" state="visible" r:id="rId10"/>
    <sheet name="Schedules" sheetId="9" state="visible" r:id="rId11"/>
    <sheet name="WACC" sheetId="10" state="visible" r:id="rId12"/>
    <sheet name="DCF" sheetId="11" state="visible" r:id="rId13"/>
    <sheet name="Sensitivity" sheetId="12" state="visible" r:id="rId14"/>
    <sheet name="Stress" sheetId="13" state="visible" r:id="rId15"/>
    <sheet name="Checks" sheetId="14" state="visible" r:id="rId16"/>
  </sheets>
  <definedNames>
    <definedName function="false" hidden="false" localSheetId="6" name="_xlnm.Print_Titles" vbProcedure="false">'Balance Sheet'!$A:$A,'Balance Sheet'!$1:$4</definedName>
    <definedName function="false" hidden="false" localSheetId="7" name="_xlnm.Print_Titles" vbProcedure="false">'Cash Flow'!$A:$A,'Cash Flow'!$1:$4</definedName>
    <definedName function="false" hidden="false" localSheetId="13" name="_xlnm.Print_Titles" vbProcedure="false">Checks!$A:$A,Checks!$1:$4</definedName>
    <definedName function="false" hidden="false" localSheetId="10" name="_xlnm.Print_Titles" vbProcedure="false">DCF!$A:$A,DCF!$1:$4</definedName>
    <definedName function="false" hidden="false" localSheetId="4" name="_xlnm.Print_Titles" vbProcedure="false">Drivers!$A:$A,Drivers!$1:$4</definedName>
    <definedName function="false" hidden="false" localSheetId="5" name="_xlnm.Print_Titles" vbProcedure="false">'Income Statement'!$A:$A,'Income Statement'!$1:$4</definedName>
    <definedName function="false" hidden="false" localSheetId="3" name="_xlnm.Print_Titles" vbProcedure="false">Scenarios!$A:$A,Scenarios!$1:$4</definedName>
    <definedName function="false" hidden="false" localSheetId="8" name="_xlnm.Print_Titles" vbProcedure="false">Schedules!$A:$A,Schedules!$1:$4</definedName>
    <definedName function="false" hidden="false" localSheetId="11" name="_xlnm.Print_Titles" vbProcedure="false">Sensitivity!$A:$A,Sensitivity!$1:$4</definedName>
    <definedName function="false" hidden="false" localSheetId="12" name="_xlnm.Print_Titles" vbProcedure="false">Stress!$A:$A,Stress!$1:$4</definedName>
    <definedName function="false" hidden="false" localSheetId="2" name="_xlnm.Print_Titles" vbProcedure="false">Summary!$A:$A,Summary!$1:$4</definedName>
    <definedName function="false" hidden="false" localSheetId="2" name="_xlnm.Print_Titles" vbProcedure="false">Summary!$1:$4,Summary!$A:$A</definedName>
    <definedName function="false" hidden="false" localSheetId="3" name="_xlnm.Print_Titles" vbProcedure="false">Scenarios!$1:$4,Scenarios!$A:$A</definedName>
    <definedName function="false" hidden="false" localSheetId="4" name="_xlnm.Print_Titles" vbProcedure="false">Drivers!$1:$4,Drivers!$A:$A</definedName>
    <definedName function="false" hidden="false" localSheetId="5" name="_xlnm.Print_Titles" vbProcedure="false">'Income Statement'!$1:$4,'Income Statement'!$A:$A</definedName>
    <definedName function="false" hidden="false" localSheetId="6" name="_xlnm.Print_Titles" vbProcedure="false">'Balance Sheet'!$1:$4,'Balance Sheet'!$A:$A</definedName>
    <definedName function="false" hidden="false" localSheetId="7" name="_xlnm.Print_Titles" vbProcedure="false">'Cash Flow'!$1:$4,'Cash Flow'!$A:$A</definedName>
    <definedName function="false" hidden="false" localSheetId="8" name="_xlnm.Print_Titles" vbProcedure="false">Schedules!$1:$4,Schedules!$A:$A</definedName>
    <definedName function="false" hidden="false" localSheetId="10" name="_xlnm.Print_Titles" vbProcedure="false">DCF!$1:$4,DCF!$A:$A</definedName>
    <definedName function="false" hidden="false" localSheetId="11" name="_xlnm.Print_Titles" vbProcedure="false">Sensitivity!$1:$4,Sensitivity!$A:$A</definedName>
    <definedName function="false" hidden="false" localSheetId="12" name="_xlnm.Print_Titles" vbProcedure="false">Stress!$1:$4,Stress!$A:$A</definedName>
    <definedName function="false" hidden="false" localSheetId="13" name="_xlnm.Print_Titles" vbProcedure="false">Checks!$1:$4,Checks!$A:$A</definedName>
  </definedNames>
  <calcPr iterateCount="1000" refMode="A1" iterate="true" iterateDelta="1E-007"/>
  <extLst>
    <ext xmlns:loext="http://schemas.libreoffice.org/" uri="{7626C862-2A13-11E5-B345-FEFF819CDC9F}">
      <loext:extCalcPr stringRefSyntax="ExcelA1"/>
    </ext>
  </extLst>
</workbook>
</file>

<file path=xl/sharedStrings.xml><?xml version="1.0" encoding="utf-8"?>
<sst xmlns="http://schemas.openxmlformats.org/spreadsheetml/2006/main" count="640" uniqueCount="390">
  <si>
    <t xml:space="preserve">Trent Ltd - Dashboard</t>
  </si>
  <si>
    <t xml:space="preserve">Every figure links into the model: change an input or the scenario switch and this page follows</t>
  </si>
  <si>
    <t xml:space="preserve">The call</t>
  </si>
  <si>
    <t xml:space="preserve">Value</t>
  </si>
  <si>
    <t xml:space="preserve">INR Cr</t>
  </si>
  <si>
    <t xml:space="preserve">Mar-26</t>
  </si>
  <si>
    <t xml:space="preserve">Mar-27E</t>
  </si>
  <si>
    <t xml:space="preserve">Mar-28E</t>
  </si>
  <si>
    <t xml:space="preserve">    Rating</t>
  </si>
  <si>
    <t xml:space="preserve">Revenue</t>
  </si>
  <si>
    <t xml:space="preserve">    Target price (INR)</t>
  </si>
  <si>
    <t xml:space="preserve">EBITDA</t>
  </si>
  <si>
    <t xml:space="preserve">    Current market price (INR)</t>
  </si>
  <si>
    <t xml:space="preserve">Profit after tax</t>
  </si>
  <si>
    <t xml:space="preserve">    Upside / (downside) to target</t>
  </si>
  <si>
    <t xml:space="preserve">EPS (INR)</t>
  </si>
  <si>
    <t xml:space="preserve">    Target basis</t>
  </si>
  <si>
    <t xml:space="preserve">EBITDA margin</t>
  </si>
  <si>
    <t xml:space="preserve">    Target horizon (months)</t>
  </si>
  <si>
    <t xml:space="preserve">    Active scenario</t>
  </si>
  <si>
    <t xml:space="preserve">Valuation, active scenario</t>
  </si>
  <si>
    <t xml:space="preserve">    Perpetuity DCF value per share (INR)</t>
  </si>
  <si>
    <t xml:space="preserve">    WACC</t>
  </si>
  <si>
    <t xml:space="preserve">    Terminal growth</t>
  </si>
  <si>
    <t xml:space="preserve">    Return on new capital in perpetuity (RONIC)</t>
  </si>
  <si>
    <t xml:space="preserve">    Terminal value as % of EV</t>
  </si>
  <si>
    <t xml:space="preserve">    Enterprise value (INR Cr)</t>
  </si>
  <si>
    <t xml:space="preserve">    Equity value (INR Cr)</t>
  </si>
  <si>
    <t xml:space="preserve">Value per share by method</t>
  </si>
  <si>
    <t xml:space="preserve">INR / share</t>
  </si>
  <si>
    <t xml:space="preserve">    Base case, perpetuity DCF</t>
  </si>
  <si>
    <t xml:space="preserve">    Bull case, perpetuity DCF</t>
  </si>
  <si>
    <t xml:space="preserve">    Bear case, perpetuity DCF</t>
  </si>
  <si>
    <t xml:space="preserve">    DCF at the cross-check exit multiple</t>
  </si>
  <si>
    <t xml:space="preserve">    DCF at the alternative exit multiple</t>
  </si>
  <si>
    <t xml:space="preserve">    Current market price</t>
  </si>
  <si>
    <t xml:space="preserve">Scenario values are recorded when each case is calculated; switch Scenarios!B4 to reproduce one.</t>
  </si>
  <si>
    <t xml:space="preserve">Trent Ltd - three-statement model</t>
  </si>
  <si>
    <t xml:space="preserve">Currency</t>
  </si>
  <si>
    <t xml:space="preserve">INR cr</t>
  </si>
  <si>
    <t xml:space="preserve">Sector</t>
  </si>
  <si>
    <t xml:space="preserve">consumer</t>
  </si>
  <si>
    <t xml:space="preserve">History</t>
  </si>
  <si>
    <t xml:space="preserve">Mar-17 to Mar-26  (10 years)</t>
  </si>
  <si>
    <t xml:space="preserve">Forecast</t>
  </si>
  <si>
    <t xml:space="preserve">Mar-27E to Mar-36E  (10 years)</t>
  </si>
  <si>
    <t xml:space="preserve">Depreciation basis</t>
  </si>
  <si>
    <t xml:space="preserve">net_block</t>
  </si>
  <si>
    <t xml:space="preserve">Circular solve</t>
  </si>
  <si>
    <t xml:space="preserve">53 passes, residual 0</t>
  </si>
  <si>
    <t xml:space="preserve">Checks</t>
  </si>
  <si>
    <t xml:space="preserve">ALL PASS</t>
  </si>
  <si>
    <t xml:space="preserve">Integrity checks</t>
  </si>
  <si>
    <t xml:space="preserve">OK   Total assets less total liabilities and equity (forecast)</t>
  </si>
  <si>
    <t xml:space="preserve">blocking</t>
  </si>
  <si>
    <t xml:space="preserve">Mar-35E</t>
  </si>
  <si>
    <t xml:space="preserve">OK   Balance sheet cash less cash flow closing cash (forecast)</t>
  </si>
  <si>
    <t xml:space="preserve">Mar-36E</t>
  </si>
  <si>
    <t xml:space="preserve">OK   Reserves roll-forward residual (forecast)</t>
  </si>
  <si>
    <t xml:space="preserve">OK   Net block roll-forward residual (forecast)</t>
  </si>
  <si>
    <t xml:space="preserve">FAIL Reserves roll-forward residual (history)</t>
  </si>
  <si>
    <t xml:space="preserve">advisory</t>
  </si>
  <si>
    <t xml:space="preserve">Mar-20</t>
  </si>
  <si>
    <t xml:space="preserve">OK   Net block roll-forward residual (history)</t>
  </si>
  <si>
    <t xml:space="preserve">Mar-25</t>
  </si>
  <si>
    <t xml:space="preserve">FAIL Reconstructed CFO close to reported CFO</t>
  </si>
  <si>
    <t xml:space="preserve">Mar-21</t>
  </si>
  <si>
    <t xml:space="preserve">OK   Cash less the minimum cash balance</t>
  </si>
  <si>
    <t xml:space="preserve">OK   Revolver balance</t>
  </si>
  <si>
    <t xml:space="preserve">Mar-29E</t>
  </si>
  <si>
    <t xml:space="preserve">OK   Net block</t>
  </si>
  <si>
    <t xml:space="preserve">OK   Shareholders' equity</t>
  </si>
  <si>
    <t xml:space="preserve">OK   Historical balance sheet ties to the source</t>
  </si>
  <si>
    <t xml:space="preserve">OK   Effective tax rate inside a plausible band</t>
  </si>
  <si>
    <t xml:space="preserve">-</t>
  </si>
  <si>
    <t xml:space="preserve">OK   EBITDA margin inside a plausible band</t>
  </si>
  <si>
    <t xml:space="preserve">OK   Revenue growth inside a plausible band</t>
  </si>
  <si>
    <t xml:space="preserve">OK   Dividend payout inside a plausible band</t>
  </si>
  <si>
    <t xml:space="preserve">Screener vs annual report</t>
  </si>
  <si>
    <t xml:space="preserve">line</t>
  </si>
  <si>
    <t xml:space="preserve">period</t>
  </si>
  <si>
    <t xml:space="preserve">screener</t>
  </si>
  <si>
    <t xml:space="preserve">annual report</t>
  </si>
  <si>
    <t xml:space="preserve">diff %</t>
  </si>
  <si>
    <t xml:space="preserve">shares</t>
  </si>
  <si>
    <t xml:space="preserve">Annual-report citations</t>
  </si>
  <si>
    <t xml:space="preserve">payables</t>
  </si>
  <si>
    <t xml:space="preserve">kb/annual_report/pages/page_0212.md  p.212</t>
  </si>
  <si>
    <t xml:space="preserve">inputs/shareholding.pdf (BSE, quarter ended 30-09-2026) + kb/annual_report/pages/page_0102.md  p.102</t>
  </si>
  <si>
    <t xml:space="preserve">Notes</t>
  </si>
  <si>
    <t xml:space="preserve">- trade payables supplied from the annual report were netted out of other liabilities so the balance sheet still ties</t>
  </si>
  <si>
    <t xml:space="preserve">- built against modeling strategy: revenue_model=consolidated_buildup, modelability=GREEN, decision=APPROVED</t>
  </si>
  <si>
    <t xml:space="preserve">- block 'derived' not found in the export</t>
  </si>
  <si>
    <t xml:space="preserve">- block 'price' not found in the export</t>
  </si>
  <si>
    <t xml:space="preserve">- held at the trailing historical average (no value in assumptions.json or overrides): dep_pct_nb, cwip_pct_sales, other_ca_pct, other_liab_pct</t>
  </si>
  <si>
    <t xml:space="preserve">- not in the source at all, held at zero for every year: exceptional</t>
  </si>
  <si>
    <t xml:space="preserve">- no actual for 'capex' in Mar-17: set to zero</t>
  </si>
  <si>
    <t xml:space="preserve">Valuation</t>
  </si>
  <si>
    <t xml:space="preserve">- Scenarios!B4 selects the case. The switched driver rows on Drivers are green links to it.</t>
  </si>
  <si>
    <t xml:space="preserve">- Dashboard shows the call; every cell links into the model. Sheets are protected without a password so formulas are not overwritten by accident: blue input cells stay editable.</t>
  </si>
  <si>
    <t xml:space="preserve">- DCF discounts the free cash flow built from these statements; Sensitivity re-prices every cell.</t>
  </si>
  <si>
    <t xml:space="preserve">- Blue = input, black = formula, green = link to another sheet. Iterative calculation is on (interest on average debt is circular).</t>
  </si>
  <si>
    <t xml:space="preserve">- Scenarios 'base/bull/bear' were each built by financial-model and valued by model.py; the Scenarios sheet checks this workbook against those values.</t>
  </si>
  <si>
    <t xml:space="preserve">Explained check failures</t>
  </si>
  <si>
    <t xml:space="preserve">- EXPLAINED  Reserves roll-forward residual (history) (Mar-20, INR 651.6 Cr): Share issue in FY20: shares rose from 33.23 Cr to 35.55 Cr after the August 2019 allotment (the company lists a 'Shareholding Pattern - Post Allotment - 06.08.2019'), and FY20 is also the Ind AS 116 transition year. Screener records no equity issuance, so reserves grew by more than profit less dividends. Historical only; the forecast reserves roll ties to zero. Moves the valuation: no. Source: data/financials.json (No. of Equity Shares 332,316,730 Mar-19 to 355,487,461 Mar-20); trentlimited.com/pages/shareholding-pattern-1 (post-allotment filing 06.08.2019)</t>
  </si>
  <si>
    <t xml:space="preserve">- EXPLAINED  Reconstructed CFO close to reported CFO (Mar-21, INR 2,370.4 Cr): FY21 was the Covid year (sales -25.6%, loss after tax) and the first full year of Ind AS 116, with lease principal moved from operating to financing cash flow and pandemic rent concessions booked through other income. The model reconstructs CFO from Screener balance-sheet movements, which do not carry that reclassification. Gap is confined to FY21; FY24-FY26 reconstruct within tolerance, and the forecast is driven from FY26. Moves the valuation: no. Source: data/financials.json (Mar-21 Sales 2,592.96, Net profit -146; Cash from Operating Activity 285.0); model.json checks</t>
  </si>
  <si>
    <t xml:space="preserve">Trent Ltd - Summary</t>
  </si>
  <si>
    <t xml:space="preserve">INR cr unless stated  |  built 2026-10-15  |  blue = input, black = formula, green = link to another sheet</t>
  </si>
  <si>
    <t xml:space="preserve">Actuals    </t>
  </si>
  <si>
    <t xml:space="preserve">Mar-17</t>
  </si>
  <si>
    <t xml:space="preserve">Mar-18</t>
  </si>
  <si>
    <t xml:space="preserve">Mar-19</t>
  </si>
  <si>
    <t xml:space="preserve">Mar-22</t>
  </si>
  <si>
    <t xml:space="preserve">Mar-23</t>
  </si>
  <si>
    <t xml:space="preserve">Mar-24</t>
  </si>
  <si>
    <t xml:space="preserve">Mar-30E</t>
  </si>
  <si>
    <t xml:space="preserve">Mar-31E</t>
  </si>
  <si>
    <t xml:space="preserve">Mar-32E</t>
  </si>
  <si>
    <t xml:space="preserve">Mar-33E</t>
  </si>
  <si>
    <t xml:space="preserve">Mar-34E</t>
  </si>
  <si>
    <t xml:space="preserve">Operating performance</t>
  </si>
  <si>
    <t xml:space="preserve">    Revenue growth</t>
  </si>
  <si>
    <t xml:space="preserve">    EBITDA margin</t>
  </si>
  <si>
    <t xml:space="preserve">EBIT</t>
  </si>
  <si>
    <t xml:space="preserve">Earnings per share</t>
  </si>
  <si>
    <t xml:space="preserve">Cash generation</t>
  </si>
  <si>
    <t xml:space="preserve">Free cash flow to the firm</t>
  </si>
  <si>
    <t xml:space="preserve">Free cash flow to equity</t>
  </si>
  <si>
    <t xml:space="preserve">    EBITDA to FCFF conversion</t>
  </si>
  <si>
    <t xml:space="preserve">Leverage and returns</t>
  </si>
  <si>
    <t xml:space="preserve">Net debt</t>
  </si>
  <si>
    <t xml:space="preserve">    Net debt / EBITDA</t>
  </si>
  <si>
    <t xml:space="preserve">    EBIT / interest expense</t>
  </si>
  <si>
    <t xml:space="preserve">Capital employed</t>
  </si>
  <si>
    <t xml:space="preserve">    Post-tax ROCE</t>
  </si>
  <si>
    <t xml:space="preserve">    Return on equity</t>
  </si>
  <si>
    <t xml:space="preserve">Trent Ltd - Scenarios</t>
  </si>
  <si>
    <t xml:space="preserve">Change the yellow cell: every switched driver, the statements, the checks and the DCF follow</t>
  </si>
  <si>
    <t xml:space="preserve">Active scenario  (1 Base, 2 Bull, 3 Bear)</t>
  </si>
  <si>
    <t xml:space="preserve">Active case</t>
  </si>
  <si>
    <t xml:space="preserve">INR cr unless stated</t>
  </si>
  <si>
    <t xml:space="preserve">Base case inputs</t>
  </si>
  <si>
    <t xml:space="preserve">    Capex (% sales)</t>
  </si>
  <si>
    <t xml:space="preserve">Bull case inputs</t>
  </si>
  <si>
    <t xml:space="preserve">Zudio returns to ~250 net stores a year from FY28 and Westside to ~45 (area adds 4.0-4.2 mn sq ft a year at peak), sales per sq ft stops falling in FY28 as the FY26-FY27 cohort matures, and EBITDA margin reaches 21% on operating leverage. Revenue CAGR FY26-FY36 about 16%.</t>
  </si>
  <si>
    <t xml:space="preserve">Bear case inputs</t>
  </si>
  <si>
    <t xml:space="preserve">New-store productivity keeps falling (sales per sq ft -8% FY27, -5% FY28) as value-fashion competition in Tier II/III intensifies, Trent slows openings to ~2.5 mn sq ft a year to protect returns, and EBITDA margin gives back to 18% on negative operating leverage. Revenue CAGR FY26-FY36 about 9.5%.</t>
  </si>
  <si>
    <t xml:space="preserve">Active path  (feeds the Drivers sheet)</t>
  </si>
  <si>
    <t xml:space="preserve">Scenario values  (INR per share; recorded with the selector at each case; a range, not weighted)</t>
  </si>
  <si>
    <t xml:space="preserve">Case</t>
  </si>
  <si>
    <t xml:space="preserve">Target</t>
  </si>
  <si>
    <t xml:space="preserve">    Base</t>
  </si>
  <si>
    <t xml:space="preserve">    Bull</t>
  </si>
  <si>
    <t xml:space="preserve">    Bear</t>
  </si>
  <si>
    <t xml:space="preserve">Live value, active case (DCF sheet)</t>
  </si>
  <si>
    <t xml:space="preserve">Recorded value, active case</t>
  </si>
  <si>
    <t xml:space="preserve">Difference (must be 0)</t>
  </si>
  <si>
    <t xml:space="preserve">Trent Ltd - Drivers</t>
  </si>
  <si>
    <t xml:space="preserve">Growth and margins</t>
  </si>
  <si>
    <t xml:space="preserve">    Gross margin</t>
  </si>
  <si>
    <t xml:space="preserve">    Other income (% sales)</t>
  </si>
  <si>
    <t xml:space="preserve">Capital expenditure and depreciation</t>
  </si>
  <si>
    <t xml:space="preserve">    Depreciation (% opening net block)</t>
  </si>
  <si>
    <t xml:space="preserve">    Depreciation (% sales)</t>
  </si>
  <si>
    <t xml:space="preserve">    CWIP (% sales)</t>
  </si>
  <si>
    <t xml:space="preserve">Working capital</t>
  </si>
  <si>
    <t xml:space="preserve">    Receivable days</t>
  </si>
  <si>
    <t xml:space="preserve">    Inventory days</t>
  </si>
  <si>
    <t xml:space="preserve">    Payable days</t>
  </si>
  <si>
    <t xml:space="preserve">    Other current assets (% sales)</t>
  </si>
  <si>
    <t xml:space="preserve">    Other liabilities (% sales)</t>
  </si>
  <si>
    <t xml:space="preserve">Financing, tax and distribution</t>
  </si>
  <si>
    <t xml:space="preserve">    Effective tax rate</t>
  </si>
  <si>
    <t xml:space="preserve">    Interest rate on debt</t>
  </si>
  <si>
    <t xml:space="preserve">    Yield on cash and investments</t>
  </si>
  <si>
    <t xml:space="preserve">    Term debt growth</t>
  </si>
  <si>
    <t xml:space="preserve">    Scheduled debt repayment</t>
  </si>
  <si>
    <t xml:space="preserve">    Equity issued</t>
  </si>
  <si>
    <t xml:space="preserve">    Dividend payout</t>
  </si>
  <si>
    <t xml:space="preserve">    Minimum cash balance</t>
  </si>
  <si>
    <t xml:space="preserve">Trent Ltd - Income Statement</t>
  </si>
  <si>
    <t xml:space="preserve">Income statement</t>
  </si>
  <si>
    <t xml:space="preserve">    Cost of goods sold</t>
  </si>
  <si>
    <t xml:space="preserve">Gross profit</t>
  </si>
  <si>
    <t xml:space="preserve">    Operating expenses</t>
  </si>
  <si>
    <t xml:space="preserve">    Depreciation and amortisation</t>
  </si>
  <si>
    <t xml:space="preserve">    Other income</t>
  </si>
  <si>
    <t xml:space="preserve">    Interest expense</t>
  </si>
  <si>
    <t xml:space="preserve">    Exceptional items</t>
  </si>
  <si>
    <t xml:space="preserve">Profit before tax</t>
  </si>
  <si>
    <t xml:space="preserve">    Tax</t>
  </si>
  <si>
    <t xml:space="preserve">Trent Ltd - Balance Sheet</t>
  </si>
  <si>
    <t xml:space="preserve">Assets</t>
  </si>
  <si>
    <t xml:space="preserve">    Cash and bank</t>
  </si>
  <si>
    <t xml:space="preserve">    Trade receivables</t>
  </si>
  <si>
    <t xml:space="preserve">    Inventories</t>
  </si>
  <si>
    <t xml:space="preserve">    Other current assets</t>
  </si>
  <si>
    <t xml:space="preserve">    Net fixed assets</t>
  </si>
  <si>
    <t xml:space="preserve">    Capital work in progress</t>
  </si>
  <si>
    <t xml:space="preserve">    Investments</t>
  </si>
  <si>
    <t xml:space="preserve">Total assets</t>
  </si>
  <si>
    <t xml:space="preserve">Liabilities and equity</t>
  </si>
  <si>
    <t xml:space="preserve">    Share capital</t>
  </si>
  <si>
    <t xml:space="preserve">    Reserves and surplus</t>
  </si>
  <si>
    <t xml:space="preserve">    Term borrowings</t>
  </si>
  <si>
    <t xml:space="preserve">    Revolver / short-term plug</t>
  </si>
  <si>
    <t xml:space="preserve">    Total debt</t>
  </si>
  <si>
    <t xml:space="preserve">    Trade payables</t>
  </si>
  <si>
    <t xml:space="preserve">    Other liabilities</t>
  </si>
  <si>
    <t xml:space="preserve">Total liabilities and equity</t>
  </si>
  <si>
    <t xml:space="preserve">Trent Ltd - Cash Flow</t>
  </si>
  <si>
    <t xml:space="preserve">Operating</t>
  </si>
  <si>
    <t xml:space="preserve">    Profit after tax</t>
  </si>
  <si>
    <t xml:space="preserve">    (Increase)/decrease in net operating assets</t>
  </si>
  <si>
    <t xml:space="preserve">Cash from operations</t>
  </si>
  <si>
    <t xml:space="preserve">Investing</t>
  </si>
  <si>
    <t xml:space="preserve">    Capital expenditure</t>
  </si>
  <si>
    <t xml:space="preserve">Cash from investing</t>
  </si>
  <si>
    <t xml:space="preserve">Financing</t>
  </si>
  <si>
    <t xml:space="preserve">    Term debt drawn/(repaid)</t>
  </si>
  <si>
    <t xml:space="preserve">    Revolver drawn/(repaid)</t>
  </si>
  <si>
    <t xml:space="preserve">    Dividends paid</t>
  </si>
  <si>
    <t xml:space="preserve">Cash from financing</t>
  </si>
  <si>
    <t xml:space="preserve">Cash reconciliation</t>
  </si>
  <si>
    <t xml:space="preserve">Net change in cash</t>
  </si>
  <si>
    <t xml:space="preserve">    Opening cash</t>
  </si>
  <si>
    <t xml:space="preserve">Closing cash</t>
  </si>
  <si>
    <t xml:space="preserve">Reported cash flow (history only)</t>
  </si>
  <si>
    <t xml:space="preserve">    Reported cash from operations</t>
  </si>
  <si>
    <t xml:space="preserve">    Reported cash from investing</t>
  </si>
  <si>
    <t xml:space="preserve">    Reported cash from financing</t>
  </si>
  <si>
    <t xml:space="preserve">    Reconstructed less reported CFO</t>
  </si>
  <si>
    <t xml:space="preserve">Trent Ltd - Schedules</t>
  </si>
  <si>
    <t xml:space="preserve">Fixed assets</t>
  </si>
  <si>
    <t xml:space="preserve">    Opening net block</t>
  </si>
  <si>
    <t xml:space="preserve">    Depreciation charge</t>
  </si>
  <si>
    <t xml:space="preserve">Closing net block</t>
  </si>
  <si>
    <t xml:space="preserve">Net operating assets</t>
  </si>
  <si>
    <t xml:space="preserve">    Change in net operating assets</t>
  </si>
  <si>
    <t xml:space="preserve">    Net operating assets (days of sales)</t>
  </si>
  <si>
    <t xml:space="preserve">Debt, revolver and interest</t>
  </si>
  <si>
    <t xml:space="preserve">    Opening term debt</t>
  </si>
  <si>
    <t xml:space="preserve">    Financing flows before the revolver</t>
  </si>
  <si>
    <t xml:space="preserve">    Cash before the revolver</t>
  </si>
  <si>
    <t xml:space="preserve">    Revolver drawn</t>
  </si>
  <si>
    <t xml:space="preserve">    Revolver repaid</t>
  </si>
  <si>
    <t xml:space="preserve">    Average total debt</t>
  </si>
  <si>
    <t xml:space="preserve">Equity and shareholders</t>
  </si>
  <si>
    <t xml:space="preserve">    Dividends declared</t>
  </si>
  <si>
    <t xml:space="preserve">    Shares outstanding</t>
  </si>
  <si>
    <t xml:space="preserve">Shareholders' equity</t>
  </si>
  <si>
    <t xml:space="preserve">    Book value per share</t>
  </si>
  <si>
    <t xml:space="preserve">Trent Ltd - Cost of capital</t>
  </si>
  <si>
    <t xml:space="preserve">CAPM cost of equity, post-tax cost of debt, target weights</t>
  </si>
  <si>
    <t xml:space="preserve">Basis</t>
  </si>
  <si>
    <t xml:space="preserve">Cost of equity</t>
  </si>
  <si>
    <t xml:space="preserve">    Risk-free rate</t>
  </si>
  <si>
    <t xml:space="preserve">10-year G-sec yield (assumptions.json)</t>
  </si>
  <si>
    <t xml:space="preserve">    Equity risk premium</t>
  </si>
  <si>
    <t xml:space="preserve">assumptions.json</t>
  </si>
  <si>
    <t xml:space="preserve">    Raw beta</t>
  </si>
  <si>
    <t xml:space="preserve">    Blume-adjusted beta (0.67 x beta + 0.33)</t>
  </si>
  <si>
    <t xml:space="preserve">Cost of equity (CAPM)</t>
  </si>
  <si>
    <t xml:space="preserve">Cost of debt and weights</t>
  </si>
  <si>
    <t xml:space="preserve">    Pre-tax cost of debt</t>
  </si>
  <si>
    <t xml:space="preserve">    Tax rate</t>
  </si>
  <si>
    <t xml:space="preserve">    Post-tax cost of debt</t>
  </si>
  <si>
    <t xml:space="preserve">    Target debt weight</t>
  </si>
  <si>
    <t xml:space="preserve">WACC</t>
  </si>
  <si>
    <t xml:space="preserve">    Terminal growth (active scenario)</t>
  </si>
  <si>
    <t xml:space="preserve">    Terminal growth below WACC</t>
  </si>
  <si>
    <t xml:space="preserve">Trent Ltd - DCF</t>
  </si>
  <si>
    <t xml:space="preserve">FCFF from the linked statements; stub-period discounting from the balance-sheet date; exit-multiple target</t>
  </si>
  <si>
    <t xml:space="preserve">    NOPAT  (EBIT x (1 - tax rate))</t>
  </si>
  <si>
    <t xml:space="preserve">    Add: depreciation and amortisation</t>
  </si>
  <si>
    <t xml:space="preserve">    Less: capital expenditure</t>
  </si>
  <si>
    <t xml:space="preserve">    Less: increase in net operating assets</t>
  </si>
  <si>
    <t xml:space="preserve">Timing and discounting</t>
  </si>
  <si>
    <t xml:space="preserve">    Balance-sheet date (date of the net debt)</t>
  </si>
  <si>
    <t xml:space="preserve">Cash flows before it are inside net debt</t>
  </si>
  <si>
    <t xml:space="preserve">    First forecast year ends</t>
  </si>
  <si>
    <t xml:space="preserve">    Valuation date (cover)</t>
  </si>
  <si>
    <t xml:space="preserve">    Share of the first year counted (stub)</t>
  </si>
  <si>
    <t xml:space="preserve">    Share of year counted</t>
  </si>
  <si>
    <t xml:space="preserve">    Discount period (years from balance-sheet date, mid-year)</t>
  </si>
  <si>
    <t xml:space="preserve">    Discount factor</t>
  </si>
  <si>
    <t xml:space="preserve">    Present value of FCFF</t>
  </si>
  <si>
    <t xml:space="preserve">Valuation: perpetuity</t>
  </si>
  <si>
    <t xml:space="preserve">    Return on new invested capital in perpetuity (RONIC)</t>
  </si>
  <si>
    <t xml:space="preserve">assumptions.json terminal_ronic</t>
  </si>
  <si>
    <t xml:space="preserve">    Terminal reinvestment rate  (g / RONIC, share of NOPAT)</t>
  </si>
  <si>
    <t xml:space="preserve">    Sum of PV of FCFF</t>
  </si>
  <si>
    <t xml:space="preserve">    Terminal value  (NOPAT N x (1 + g) x (1 - g / RONIC) / (WACC - g))</t>
  </si>
  <si>
    <t xml:space="preserve">    PV of terminal value  (at the final cash flow's period)</t>
  </si>
  <si>
    <t xml:space="preserve">Enterprise value</t>
  </si>
  <si>
    <t xml:space="preserve">    Net debt at the balance-sheet date  (negative = net cash)</t>
  </si>
  <si>
    <t xml:space="preserve">assumptions.json net_debt, as at the balance-sheet date</t>
  </si>
  <si>
    <t xml:space="preserve">    Lease liabilities (Ind AS 116, debt-like)</t>
  </si>
  <si>
    <t xml:space="preserve">assumptions.json lease_liabilities (annual report)</t>
  </si>
  <si>
    <t xml:space="preserve">    Minority interest (book value)</t>
  </si>
  <si>
    <t xml:space="preserve">assumptions.json minority_interest (annual report)</t>
  </si>
  <si>
    <t xml:space="preserve">    Non-operating assets</t>
  </si>
  <si>
    <t xml:space="preserve">Treasury investments and stakes not in FCFF</t>
  </si>
  <si>
    <t xml:space="preserve">    Equity value at the balance-sheet date</t>
  </si>
  <si>
    <t xml:space="preserve">    Cost of equity</t>
  </si>
  <si>
    <t xml:space="preserve">    Roll-forward to the valuation date  ((1 + ke) ^ years)</t>
  </si>
  <si>
    <t xml:space="preserve">Equity value at the valuation date</t>
  </si>
  <si>
    <t xml:space="preserve">    Shares outstanding (Cr)</t>
  </si>
  <si>
    <t xml:space="preserve">Value per share, perpetuity (INR)</t>
  </si>
  <si>
    <t xml:space="preserve">NSE close, 14 Oct 2026 (cover date)</t>
  </si>
  <si>
    <t xml:space="preserve">    Upside / (downside)</t>
  </si>
  <si>
    <t xml:space="preserve">Target price (12-month forward)</t>
  </si>
  <si>
    <t xml:space="preserve">    Target method  (Perpetuity DCF or Exit multiple)</t>
  </si>
  <si>
    <t xml:space="preserve">Perpetuity DCF</t>
  </si>
  <si>
    <t xml:space="preserve">assumptions.json target_policy</t>
  </si>
  <si>
    <t xml:space="preserve">    Horizon (months)</t>
  </si>
  <si>
    <t xml:space="preserve">    Value per share today, on the target method</t>
  </si>
  <si>
    <t xml:space="preserve">    Dividend per share, next 12 months (first forecast year)</t>
  </si>
  <si>
    <t xml:space="preserve">Schedules: dividends declared / shares, first forecast year</t>
  </si>
  <si>
    <t xml:space="preserve">    Forward value  (value x (1 + ke)^(h/12) - DPS x h/12)</t>
  </si>
  <si>
    <t xml:space="preserve">    Rounding step (INR)</t>
  </si>
  <si>
    <t xml:space="preserve">Target price (INR)</t>
  </si>
  <si>
    <t xml:space="preserve">    BUY above</t>
  </si>
  <si>
    <t xml:space="preserve">House rating policy</t>
  </si>
  <si>
    <t xml:space="preserve">    SELL below</t>
  </si>
  <si>
    <t xml:space="preserve">Rating</t>
  </si>
  <si>
    <t xml:space="preserve">Exit-multiple cross-check (not the target unless chosen above)</t>
  </si>
  <si>
    <t xml:space="preserve">    Terminal-year EBITDA</t>
  </si>
  <si>
    <t xml:space="preserve">    Exit EV/EBITDA implied by the perpetuity TV</t>
  </si>
  <si>
    <t xml:space="preserve">    Exit multiple</t>
  </si>
  <si>
    <t xml:space="preserve">    Terminal value at exit multiple</t>
  </si>
  <si>
    <t xml:space="preserve">    PV of exit terminal value</t>
  </si>
  <si>
    <t xml:space="preserve">Value per share at exit multiple (INR)</t>
  </si>
  <si>
    <t xml:space="preserve">    Alternative exit multiple</t>
  </si>
  <si>
    <t xml:space="preserve">Cross-check (assumptions.json exit_multiple)</t>
  </si>
  <si>
    <t xml:space="preserve">    Value per share at alternative exit (INR)</t>
  </si>
  <si>
    <t xml:space="preserve">Trent Ltd - Sensitivity</t>
  </si>
  <si>
    <t xml:space="preserve">Value per share (INR); every cell recomputes the DCF from the FCFF row</t>
  </si>
  <si>
    <t xml:space="preserve">Step (WACC and growth)</t>
  </si>
  <si>
    <t xml:space="preserve">Step (exit multiple)</t>
  </si>
  <si>
    <t xml:space="preserve">WACC x terminal growth (perpetuity value per share)</t>
  </si>
  <si>
    <t xml:space="preserve">WACC  ↓  /  terminal growth  →</t>
  </si>
  <si>
    <t xml:space="preserve">WACC x exit multiple (value per share at exit)</t>
  </si>
  <si>
    <t xml:space="preserve">WACC  ↓  /  exit EV/EBITDA  →</t>
  </si>
  <si>
    <t xml:space="preserve">Trent Ltd - Stress tests (recorded)</t>
  </si>
  <si>
    <t xml:space="preserve">Recorded from stress_test.py on 2026-10-15: each case rebuilds the three-statement model. Not live formulas; re-run the script after changing assumptions.</t>
  </si>
  <si>
    <t xml:space="preserve">Stress</t>
  </si>
  <si>
    <t xml:space="preserve">INR/share</t>
  </si>
  <si>
    <t xml:space="preserve">Peak ND/EBITDA</t>
  </si>
  <si>
    <t xml:space="preserve">Year</t>
  </si>
  <si>
    <t xml:space="preserve">Min cover</t>
  </si>
  <si>
    <t xml:space="preserve">Revolver peak</t>
  </si>
  <si>
    <t xml:space="preserve">Breaches</t>
  </si>
  <si>
    <t xml:space="preserve">    Base case</t>
  </si>
  <si>
    <t xml:space="preserve">revolver drawn, peak INR 624 Cr</t>
  </si>
  <si>
    <t xml:space="preserve">    Store openings halve, FY27-FY29</t>
  </si>
  <si>
    <t xml:space="preserve">none</t>
  </si>
  <si>
    <t xml:space="preserve">    Sales per sq ft falls 10% in FY27</t>
  </si>
  <si>
    <t xml:space="preserve">revolver drawn, peak INR 552 Cr</t>
  </si>
  <si>
    <t xml:space="preserve">    EBITDA margin 3pp lower</t>
  </si>
  <si>
    <t xml:space="preserve">revolver drawn, peak INR 1,467 Cr</t>
  </si>
  <si>
    <t xml:space="preserve">    Rates 200 bp higher</t>
  </si>
  <si>
    <t xml:space="preserve">revolver drawn, peak INR 656 Cr</t>
  </si>
  <si>
    <t xml:space="preserve">    Inventory 25 days higher</t>
  </si>
  <si>
    <t xml:space="preserve">revolver drawn, peak INR 1,593 Cr</t>
  </si>
  <si>
    <t xml:space="preserve">    Combined: openings halve + margin -3pp + inventory +25 days</t>
  </si>
  <si>
    <t xml:space="preserve">revolver drawn, peak INR 997 Cr</t>
  </si>
  <si>
    <t xml:space="preserve">Reference levels (not disclosed covenants)</t>
  </si>
  <si>
    <t xml:space="preserve">    net debt ebitda max: 1.0 (house reference, not a covenant)</t>
  </si>
  <si>
    <t xml:space="preserve">Trent has no financial debt after redeeming its 5.78% NCD on 29 May 2026 (AR KB p.226) and discloses no covenant. 1.0x net debt/EBITDA marks the point at which a debt-free retailer would be borrowing to fund its store roll-out; lease liabilities are </t>
  </si>
  <si>
    <t xml:space="preserve">    interest cover min: 5.0 (house reference)</t>
  </si>
  <si>
    <t xml:space="preserve">EBITDA / interest of 5.0x. Interest in the model is mostly the run-off of existing lease liabilities; no company-specific covenant is disclosed.</t>
  </si>
  <si>
    <t xml:space="preserve">Two drivers at once: value per share (rows EBITDA margin (pp), columns Revenue growth (pp a year))</t>
  </si>
  <si>
    <t xml:space="preserve">-6pp</t>
  </si>
  <si>
    <t xml:space="preserve">-3pp</t>
  </si>
  <si>
    <t xml:space="preserve">+0pp</t>
  </si>
  <si>
    <t xml:space="preserve">+3pp</t>
  </si>
  <si>
    <t xml:space="preserve">+6pp</t>
  </si>
  <si>
    <t xml:space="preserve">    Reverse stress, Uniform cut to revenue growth (pp a year): no breach within -20</t>
  </si>
  <si>
    <t xml:space="preserve">    Reverse stress, Uniform cut to EBITDA margin (pp): breaches at -9.4</t>
  </si>
  <si>
    <t xml:space="preserve">Trent Ltd - Checks</t>
  </si>
  <si>
    <t xml:space="preserve">Integrity checks - every one of these must read zero</t>
  </si>
  <si>
    <t xml:space="preserve">Total assets less total liabilities and equity</t>
  </si>
  <si>
    <t xml:space="preserve">Balance sheet cash less cash flow closing cash</t>
  </si>
  <si>
    <t xml:space="preserve">Reserves roll-forward residual</t>
  </si>
  <si>
    <t xml:space="preserve">Net block roll-forward residual</t>
  </si>
  <si>
    <t xml:space="preserve">Sanity checks - these must not go negative</t>
  </si>
  <si>
    <t xml:space="preserve">Cash less the minimum cash balance</t>
  </si>
  <si>
    <t xml:space="preserve">Revolver balance</t>
  </si>
  <si>
    <t xml:space="preserve">Net block</t>
  </si>
</sst>
</file>

<file path=xl/styles.xml><?xml version="1.0" encoding="utf-8"?>
<styleSheet xmlns="http://schemas.openxmlformats.org/spreadsheetml/2006/main">
  <numFmts count="16">
    <numFmt numFmtId="164" formatCode="General"/>
    <numFmt numFmtId="165" formatCode="@"/>
    <numFmt numFmtId="166" formatCode="#,##0.0;\(#,##0.0\);\-"/>
    <numFmt numFmtId="167" formatCode="#,##0;\(#,##0\)"/>
    <numFmt numFmtId="168" formatCode="#,##0.00"/>
    <numFmt numFmtId="169" formatCode="0.0%;\(0.0%\)"/>
    <numFmt numFmtId="170" formatCode="0.00"/>
    <numFmt numFmtId="171" formatCode="0"/>
    <numFmt numFmtId="172" formatCode="0.00%"/>
    <numFmt numFmtId="173" formatCode="0.00\x"/>
    <numFmt numFmtId="174" formatCode="#,##0.0"/>
    <numFmt numFmtId="175" formatCode="#,##0.000;\(#,##0.000\)"/>
    <numFmt numFmtId="176" formatCode="dd\-mmm\-yy"/>
    <numFmt numFmtId="177" formatCode="0.000"/>
    <numFmt numFmtId="178" formatCode="0.0000"/>
    <numFmt numFmtId="179" formatCode="0.0\x"/>
  </numFmts>
  <fonts count="26">
    <font>
      <sz val="11"/>
      <color theme="1"/>
      <name val="Calibri"/>
      <family val="2"/>
      <charset val="1"/>
    </font>
    <font>
      <sz val="10"/>
      <name val="Arial"/>
      <family val="0"/>
    </font>
    <font>
      <sz val="10"/>
      <name val="Arial"/>
      <family val="0"/>
    </font>
    <font>
      <sz val="10"/>
      <name val="Arial"/>
      <family val="0"/>
    </font>
    <font>
      <b val="true"/>
      <sz val="14"/>
      <color rgb="FF1F3864"/>
      <name val="Cambria"/>
      <family val="0"/>
      <charset val="1"/>
    </font>
    <font>
      <i val="true"/>
      <sz val="9"/>
      <color rgb="FF808080"/>
      <name val="Cambria"/>
      <family val="0"/>
      <charset val="1"/>
    </font>
    <font>
      <b val="true"/>
      <sz val="11"/>
      <color rgb="FFFFFFFF"/>
      <name val="Cambria"/>
      <family val="0"/>
      <charset val="1"/>
    </font>
    <font>
      <b val="true"/>
      <sz val="10"/>
      <name val="Cambria"/>
      <family val="0"/>
      <charset val="1"/>
    </font>
    <font>
      <b val="true"/>
      <sz val="10"/>
      <color rgb="FF008000"/>
      <name val="Cambria"/>
      <family val="0"/>
      <charset val="1"/>
    </font>
    <font>
      <sz val="10"/>
      <name val="Cambria"/>
      <family val="0"/>
      <charset val="1"/>
    </font>
    <font>
      <sz val="10"/>
      <color rgb="FF008000"/>
      <name val="Cambria"/>
      <family val="0"/>
      <charset val="1"/>
    </font>
    <font>
      <sz val="10"/>
      <color rgb="FF000000"/>
      <name val="Cambria"/>
      <family val="0"/>
      <charset val="1"/>
    </font>
    <font>
      <i val="true"/>
      <sz val="8"/>
      <color rgb="FF595959"/>
      <name val="Cambria"/>
      <family val="0"/>
      <charset val="1"/>
    </font>
    <font>
      <b val="true"/>
      <sz val="18"/>
      <color rgb="FF000000"/>
      <name val="Calibri"/>
      <family val="2"/>
    </font>
    <font>
      <sz val="10"/>
      <color rgb="FF000000"/>
      <name val="Calibri"/>
      <family val="2"/>
    </font>
    <font>
      <b val="true"/>
      <sz val="16"/>
      <color rgb="FF1F3864"/>
      <name val="Cambria"/>
      <family val="0"/>
      <charset val="1"/>
    </font>
    <font>
      <b val="true"/>
      <sz val="12"/>
      <color rgb="FF1F3864"/>
      <name val="Cambria"/>
      <family val="0"/>
      <charset val="1"/>
    </font>
    <font>
      <sz val="10"/>
      <color rgb="FFC00000"/>
      <name val="Cambria"/>
      <family val="0"/>
      <charset val="1"/>
    </font>
    <font>
      <b val="true"/>
      <sz val="9"/>
      <name val="Cambria"/>
      <family val="0"/>
      <charset val="1"/>
    </font>
    <font>
      <b val="true"/>
      <sz val="11"/>
      <name val="Cambria"/>
      <family val="0"/>
      <charset val="1"/>
    </font>
    <font>
      <b val="true"/>
      <sz val="10"/>
      <color rgb="FF1F3864"/>
      <name val="Cambria"/>
      <family val="0"/>
      <charset val="1"/>
    </font>
    <font>
      <sz val="10"/>
      <color rgb="FF0000FF"/>
      <name val="Cambria"/>
      <family val="0"/>
      <charset val="1"/>
    </font>
    <font>
      <b val="true"/>
      <sz val="10"/>
      <color rgb="FF000000"/>
      <name val="Cambria"/>
      <family val="0"/>
      <charset val="1"/>
    </font>
    <font>
      <sz val="11"/>
      <color rgb="FF008000"/>
      <name val="Cambria"/>
      <family val="0"/>
      <charset val="1"/>
    </font>
    <font>
      <b val="true"/>
      <sz val="10"/>
      <color rgb="FF0000FF"/>
      <name val="Cambria"/>
      <family val="0"/>
      <charset val="1"/>
    </font>
    <font>
      <i val="true"/>
      <sz val="9"/>
      <color rgb="FF595959"/>
      <name val="Cambria"/>
      <family val="0"/>
      <charset val="1"/>
    </font>
  </fonts>
  <fills count="7">
    <fill>
      <patternFill patternType="none"/>
    </fill>
    <fill>
      <patternFill patternType="gray125"/>
    </fill>
    <fill>
      <patternFill patternType="solid">
        <fgColor rgb="FF1F3864"/>
        <bgColor rgb="FF333333"/>
      </patternFill>
    </fill>
    <fill>
      <patternFill patternType="solid">
        <fgColor rgb="FFEDEDED"/>
        <bgColor rgb="FFF9F9F9"/>
      </patternFill>
    </fill>
    <fill>
      <patternFill patternType="solid">
        <fgColor rgb="FFFFF7E6"/>
        <bgColor rgb="FFFFFDE7"/>
      </patternFill>
    </fill>
    <fill>
      <patternFill patternType="solid">
        <fgColor rgb="FFFFF2CC"/>
        <bgColor rgb="FFFFF7E6"/>
      </patternFill>
    </fill>
    <fill>
      <patternFill patternType="solid">
        <fgColor rgb="FFFFFDE7"/>
        <bgColor rgb="FFFFF7E6"/>
      </patternFill>
    </fill>
  </fills>
  <borders count="2">
    <border diagonalUp="false" diagonalDown="false">
      <left/>
      <right/>
      <top/>
      <bottom/>
      <diagonal/>
    </border>
    <border diagonalUp="false" diagonalDown="false">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bottom" textRotation="0" wrapText="false" indent="0" shrinkToFit="false"/>
      <protection locked="true" hidden="false"/>
    </xf>
    <xf numFmtId="164" fontId="6" fillId="2" borderId="0" xfId="0" applyFont="true" applyBorder="false" applyAlignment="true" applyProtection="false">
      <alignment horizontal="right"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8" fontId="10"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true" applyProtection="false">
      <alignment horizontal="right"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2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8"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1" shrinkToFit="false"/>
      <protection locked="true" hidden="false"/>
    </xf>
    <xf numFmtId="169" fontId="10" fillId="4" borderId="0" xfId="0" applyFont="tru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10" fillId="4"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3" fontId="10" fillId="4" borderId="0" xfId="0" applyFont="true" applyBorder="false" applyAlignment="false" applyProtection="false">
      <alignment horizontal="general" vertical="bottom" textRotation="0" wrapText="false" indent="0" shrinkToFit="false"/>
      <protection locked="true" hidden="false"/>
    </xf>
    <xf numFmtId="171" fontId="21" fillId="5" borderId="0" xfId="0" applyFont="true" applyBorder="false" applyAlignment="false" applyProtection="true">
      <alignment horizontal="general" vertical="bottom" textRotation="0" wrapText="false" indent="0" shrinkToFit="false"/>
      <protection locked="fals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9" fontId="21" fillId="5" borderId="0" xfId="0" applyFont="true" applyBorder="false" applyAlignment="false" applyProtection="true">
      <alignment horizontal="general" vertical="bottom" textRotation="0" wrapText="false" indent="0" shrinkToFit="false"/>
      <protection locked="fals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7" fontId="21" fillId="5" borderId="0" xfId="0" applyFont="true" applyBorder="false" applyAlignment="false" applyProtection="true">
      <alignment horizontal="general" vertical="bottom" textRotation="0" wrapText="false" indent="0" shrinkToFit="false"/>
      <protection locked="false" hidden="false"/>
    </xf>
    <xf numFmtId="167" fontId="23"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7" fontId="22" fillId="0" borderId="0" xfId="0" applyFont="true" applyBorder="false" applyAlignment="false" applyProtection="false">
      <alignment horizontal="general" vertical="bottom" textRotation="0" wrapText="false" indent="0" shrinkToFit="false"/>
      <protection locked="true" hidden="false"/>
    </xf>
    <xf numFmtId="169" fontId="21" fillId="6" borderId="0" xfId="0" applyFont="true" applyBorder="false" applyAlignment="false" applyProtection="true">
      <alignment horizontal="general" vertical="bottom" textRotation="0" wrapText="false" indent="0" shrinkToFit="false"/>
      <protection locked="fals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74" fontId="21" fillId="6" borderId="0" xfId="0" applyFont="true" applyBorder="false" applyAlignment="false" applyProtection="true">
      <alignment horizontal="general" vertical="bottom" textRotation="0" wrapText="false" indent="0" shrinkToFit="false"/>
      <protection locked="fals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21" fillId="6" borderId="0" xfId="0" applyFont="true" applyBorder="false" applyAlignment="false" applyProtection="true">
      <alignment horizontal="general" vertical="bottom" textRotation="0" wrapText="false" indent="0" shrinkToFit="false"/>
      <protection locked="false" hidden="false"/>
    </xf>
    <xf numFmtId="166" fontId="24" fillId="0" borderId="0" xfId="0" applyFont="true" applyBorder="false" applyAlignment="false" applyProtection="true">
      <alignment horizontal="general" vertical="bottom" textRotation="0" wrapText="false" indent="0" shrinkToFit="false"/>
      <protection locked="false" hidden="false"/>
    </xf>
    <xf numFmtId="166" fontId="21" fillId="0" borderId="0" xfId="0" applyFont="true" applyBorder="false" applyAlignment="false" applyProtection="true">
      <alignment horizontal="general" vertical="bottom" textRotation="0" wrapText="false" indent="0" shrinkToFit="false"/>
      <protection locked="fals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6" fontId="11" fillId="4" borderId="0" xfId="0" applyFont="true" applyBorder="false" applyAlignment="false" applyProtection="false">
      <alignment horizontal="general" vertical="bottom" textRotation="0" wrapText="false" indent="0" shrinkToFit="false"/>
      <protection locked="true" hidden="false"/>
    </xf>
    <xf numFmtId="166" fontId="24" fillId="0" borderId="1" xfId="0" applyFont="true" applyBorder="true" applyAlignment="false" applyProtection="true">
      <alignment horizontal="general" vertical="bottom" textRotation="0" wrapText="false" indent="0" shrinkToFit="false"/>
      <protection locked="fals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6" fontId="22" fillId="0" borderId="1" xfId="0" applyFont="true" applyBorder="true" applyAlignment="false" applyProtection="false">
      <alignment horizontal="general" vertical="bottom" textRotation="0" wrapText="false" indent="0" shrinkToFit="false"/>
      <protection locked="true" hidden="false"/>
    </xf>
    <xf numFmtId="166" fontId="22" fillId="4" borderId="1" xfId="0" applyFont="true" applyBorder="true" applyAlignment="false" applyProtection="false">
      <alignment horizontal="general" vertical="bottom" textRotation="0" wrapText="false" indent="0" shrinkToFit="false"/>
      <protection locked="true" hidden="false"/>
    </xf>
    <xf numFmtId="166" fontId="22" fillId="0" borderId="0" xfId="0" applyFont="true" applyBorder="false" applyAlignment="false" applyProtection="false">
      <alignment horizontal="general" vertical="bottom" textRotation="0" wrapText="false" indent="0" shrinkToFit="false"/>
      <protection locked="true" hidden="false"/>
    </xf>
    <xf numFmtId="166" fontId="22" fillId="4" borderId="0" xfId="0" applyFont="true" applyBorder="false" applyAlignment="false" applyProtection="false">
      <alignment horizontal="general" vertical="bottom" textRotation="0" wrapText="false" indent="0" shrinkToFit="false"/>
      <protection locked="true" hidden="false"/>
    </xf>
    <xf numFmtId="175" fontId="11" fillId="0" borderId="0" xfId="0" applyFont="true" applyBorder="false" applyAlignment="false" applyProtection="false">
      <alignment horizontal="general" vertical="bottom" textRotation="0" wrapText="false" indent="0" shrinkToFit="false"/>
      <protection locked="true" hidden="false"/>
    </xf>
    <xf numFmtId="175" fontId="11" fillId="4" borderId="0" xfId="0" applyFont="true" applyBorder="false" applyAlignment="false" applyProtection="false">
      <alignment horizontal="general" vertical="bottom" textRotation="0" wrapText="false" indent="0" shrinkToFit="false"/>
      <protection locked="true" hidden="false"/>
    </xf>
    <xf numFmtId="174" fontId="10" fillId="4" borderId="0" xfId="0" applyFont="true" applyBorder="false" applyAlignment="false" applyProtection="false">
      <alignment horizontal="general" vertical="bottom" textRotation="0" wrapText="false" indent="0" shrinkToFit="false"/>
      <protection locked="true" hidden="false"/>
    </xf>
    <xf numFmtId="168" fontId="21" fillId="0" borderId="0" xfId="0" applyFont="true" applyBorder="false" applyAlignment="false" applyProtection="true">
      <alignment horizontal="general" vertical="bottom" textRotation="0" wrapText="false" indent="0" shrinkToFit="false"/>
      <protection locked="false" hidden="false"/>
    </xf>
    <xf numFmtId="168" fontId="11" fillId="4"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70" fontId="21" fillId="5" borderId="0" xfId="0" applyFont="true" applyBorder="false" applyAlignment="false" applyProtection="true">
      <alignment horizontal="general" vertical="bottom" textRotation="0" wrapText="false" indent="0" shrinkToFit="false"/>
      <protection locked="fals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9" fontId="22" fillId="0" borderId="0" xfId="0" applyFont="true" applyBorder="false" applyAlignment="false" applyProtection="false">
      <alignment horizontal="general" vertical="bottom" textRotation="0" wrapText="false" indent="0" shrinkToFit="false"/>
      <protection locked="true" hidden="false"/>
    </xf>
    <xf numFmtId="172" fontId="22"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76" fontId="21" fillId="5" borderId="0" xfId="0" applyFont="true" applyBorder="false" applyAlignment="false" applyProtection="true">
      <alignment horizontal="general" vertical="bottom" textRotation="0" wrapText="false" indent="0" shrinkToFit="false"/>
      <protection locked="false" hidden="false"/>
    </xf>
    <xf numFmtId="177" fontId="11" fillId="0" borderId="0" xfId="0" applyFont="true" applyBorder="false" applyAlignment="false" applyProtection="false">
      <alignment horizontal="general" vertical="bottom" textRotation="0" wrapText="false" indent="0" shrinkToFit="false"/>
      <protection locked="true" hidden="false"/>
    </xf>
    <xf numFmtId="177" fontId="21" fillId="5" borderId="0" xfId="0" applyFont="true" applyBorder="false" applyAlignment="false" applyProtection="true">
      <alignment horizontal="general" vertical="bottom" textRotation="0" wrapText="false" indent="0" shrinkToFit="false"/>
      <protection locked="false" hidden="false"/>
    </xf>
    <xf numFmtId="166" fontId="21" fillId="5" borderId="0" xfId="0" applyFont="true" applyBorder="false" applyAlignment="false" applyProtection="true">
      <alignment horizontal="general" vertical="bottom" textRotation="0" wrapText="false" indent="0" shrinkToFit="false"/>
      <protection locked="false" hidden="false"/>
    </xf>
    <xf numFmtId="178" fontId="11" fillId="0" borderId="0" xfId="0" applyFont="true" applyBorder="false" applyAlignment="false" applyProtection="false">
      <alignment horizontal="general" vertical="bottom" textRotation="0" wrapText="false" indent="0" shrinkToFit="false"/>
      <protection locked="true" hidden="false"/>
    </xf>
    <xf numFmtId="168" fontId="21" fillId="5" borderId="0" xfId="0" applyFont="true" applyBorder="false" applyAlignment="false" applyProtection="true">
      <alignment horizontal="general" vertical="bottom" textRotation="0" wrapText="false" indent="0" shrinkToFit="false"/>
      <protection locked="false" hidden="false"/>
    </xf>
    <xf numFmtId="165" fontId="21" fillId="5" borderId="0" xfId="0" applyFont="true" applyBorder="false" applyAlignment="false" applyProtection="true">
      <alignment horizontal="general" vertical="bottom" textRotation="0" wrapText="false" indent="0" shrinkToFit="false"/>
      <protection locked="false" hidden="false"/>
    </xf>
    <xf numFmtId="179" fontId="11" fillId="0" borderId="0" xfId="0" applyFont="true" applyBorder="false" applyAlignment="false" applyProtection="false">
      <alignment horizontal="general" vertical="bottom" textRotation="0" wrapText="false" indent="0" shrinkToFit="false"/>
      <protection locked="true" hidden="false"/>
    </xf>
    <xf numFmtId="179" fontId="21" fillId="5" borderId="0" xfId="0" applyFont="true" applyBorder="false" applyAlignment="false" applyProtection="true">
      <alignment horizontal="general" vertical="bottom" textRotation="0" wrapText="false" indent="0" shrinkToFit="false"/>
      <protection locked="false" hidden="false"/>
    </xf>
    <xf numFmtId="179" fontId="22" fillId="0" borderId="0" xfId="0" applyFont="true" applyBorder="false" applyAlignment="false" applyProtection="false">
      <alignment horizontal="general" vertical="bottom" textRotation="0" wrapText="false" indent="0" shrinkToFit="false"/>
      <protection locked="true" hidden="false"/>
    </xf>
    <xf numFmtId="173"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5"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C7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DE7"/>
      <rgbColor rgb="FFEDED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FFF7E6"/>
      <rgbColor rgb="FFFFF2CC"/>
      <rgbColor rgb="FF99CCFF"/>
      <rgbColor rgb="FFFF99CC"/>
      <rgbColor rgb="FFCC99FF"/>
      <rgbColor rgb="FFFFC7CE"/>
      <rgbColor rgb="FF4F81BD"/>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DejaVu Sans"/>
              </a:defRPr>
            </a:pPr>
            <a:r>
              <a:rPr sz="1800" b="1" u="none" strike="noStrike">
                <a:solidFill>
                  <a:srgbClr val="000000"/>
                </a:solidFill>
                <a:uFillTx/>
                <a:latin typeface="Calibri"/>
              </a:rPr>
              <a:t>Value per share by method (INR)</a:t>
            </a:r>
          </a:p>
        </c:rich>
      </c:tx>
      <c:overlay val="0"/>
      <c:spPr>
        <a:noFill/>
        <a:ln w="0">
          <a:noFill/>
        </a:ln>
      </c:spPr>
    </c:title>
    <c:autoTitleDeleted val="0"/>
    <c:plotArea>
      <c:barChart>
        <c:barDir val="bar"/>
        <c:grouping val="clustered"/>
        <c:varyColors val="0"/>
        <c:ser>
          <c:idx val="0"/>
          <c:order val="0"/>
          <c:spPr>
            <a:solidFill>
              <a:srgbClr val="4F81BD"/>
            </a:solidFill>
            <a:ln w="12600">
              <a:solidFill>
                <a:srgbClr val="F9F9F9"/>
              </a:solidFill>
              <a:round/>
            </a:ln>
          </c:spPr>
          <c:invertIfNegative val="0"/>
          <c:dLbls>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Dashboard!$A$22:$A$27</c:f>
              <c:strCache>
                <c:ptCount val="6"/>
                <c:pt idx="0">
                  <c:v>    Base case, perpetuity DCF</c:v>
                </c:pt>
                <c:pt idx="1">
                  <c:v>    Bull case, perpetuity DCF</c:v>
                </c:pt>
                <c:pt idx="2">
                  <c:v>    Bear case, perpetuity DCF</c:v>
                </c:pt>
                <c:pt idx="3">
                  <c:v>    DCF at the cross-check exit multiple</c:v>
                </c:pt>
                <c:pt idx="4">
                  <c:v>    DCF at the alternative exit multiple</c:v>
                </c:pt>
                <c:pt idx="5">
                  <c:v>    Current market price</c:v>
                </c:pt>
              </c:strCache>
            </c:strRef>
          </c:cat>
          <c:val>
            <c:numRef>
              <c:f>Dashboard!$B$22:$B$27</c:f>
              <c:numCache>
                <c:formatCode>#,##0;\(#,##0\)</c:formatCode>
                <c:ptCount val="6"/>
                <c:pt idx="0">
                  <c:v>875</c:v>
                </c:pt>
                <c:pt idx="1">
                  <c:v>1180</c:v>
                </c:pt>
                <c:pt idx="2">
                  <c:v>545</c:v>
                </c:pt>
                <c:pt idx="3">
                  <c:v>3691.93445328982</c:v>
                </c:pt>
                <c:pt idx="4">
                  <c:v>2424.05680792582</c:v>
                </c:pt>
                <c:pt idx="5">
                  <c:v>2971</c:v>
                </c:pt>
              </c:numCache>
            </c:numRef>
          </c:val>
        </c:ser>
        <c:gapWidth val="60"/>
        <c:overlap val="0"/>
        <c:axId val="38423057"/>
        <c:axId val="50530284"/>
      </c:barChart>
      <c:catAx>
        <c:axId val="38423057"/>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0530284"/>
        <c:crosses val="autoZero"/>
        <c:auto val="1"/>
        <c:lblAlgn val="ctr"/>
        <c:lblOffset val="100"/>
        <c:noMultiLvlLbl val="0"/>
      </c:catAx>
      <c:valAx>
        <c:axId val="50530284"/>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8423057"/>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11</xdr:row>
      <xdr:rowOff>0</xdr:rowOff>
    </xdr:from>
    <xdr:to>
      <xdr:col>10</xdr:col>
      <xdr:colOff>259920</xdr:colOff>
      <xdr:row>28</xdr:row>
      <xdr:rowOff>181080</xdr:rowOff>
    </xdr:to>
    <xdr:graphicFrame>
      <xdr:nvGraphicFramePr>
        <xdr:cNvPr id="1" name="Chart 1"/>
        <xdr:cNvGraphicFramePr/>
      </xdr:nvGraphicFramePr>
      <xdr:xfrm>
        <a:off x="4440600" y="2125440"/>
        <a:ext cx="575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3"/>
    <col collapsed="false" customWidth="true" hidden="false" outlineLevel="0" max="4" min="4" style="0" width="16"/>
    <col collapsed="false" customWidth="true" hidden="false" outlineLevel="0" max="7" min="5"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c r="D4" s="5" t="s">
        <v>4</v>
      </c>
      <c r="E4" s="4" t="s">
        <v>5</v>
      </c>
      <c r="F4" s="4" t="s">
        <v>6</v>
      </c>
      <c r="G4" s="4" t="s">
        <v>7</v>
      </c>
    </row>
    <row r="5" customFormat="false" ht="15" hidden="false" customHeight="false" outlineLevel="0" collapsed="false">
      <c r="A5" s="6" t="s">
        <v>8</v>
      </c>
      <c r="B5" s="7" t="str">
        <f aca="false">DCF!B60</f>
        <v>SELL</v>
      </c>
      <c r="D5" s="8" t="s">
        <v>9</v>
      </c>
      <c r="E5" s="9" t="n">
        <f aca="false">'Income Statement'!K6</f>
        <v>20074.21</v>
      </c>
      <c r="F5" s="9" t="n">
        <f aca="false">'Income Statement'!L6</f>
        <v>24085.037158</v>
      </c>
      <c r="G5" s="9" t="n">
        <f aca="false">'Income Statement'!M6</f>
        <v>27931.4175921326</v>
      </c>
    </row>
    <row r="6" customFormat="false" ht="15" hidden="false" customHeight="false" outlineLevel="0" collapsed="false">
      <c r="A6" s="6" t="s">
        <v>10</v>
      </c>
      <c r="B6" s="10" t="n">
        <f aca="false">DCF!B56</f>
        <v>875</v>
      </c>
      <c r="D6" s="8" t="s">
        <v>11</v>
      </c>
      <c r="E6" s="9" t="n">
        <f aca="false">'Income Statement'!K10</f>
        <v>3745.35</v>
      </c>
      <c r="F6" s="9" t="n">
        <f aca="false">'Income Statement'!L10</f>
        <v>4696.58224581</v>
      </c>
      <c r="G6" s="9" t="n">
        <f aca="false">'Income Statement'!M10</f>
        <v>5530.42068324226</v>
      </c>
    </row>
    <row r="7" customFormat="false" ht="15" hidden="false" customHeight="false" outlineLevel="0" collapsed="false">
      <c r="A7" s="8" t="s">
        <v>12</v>
      </c>
      <c r="B7" s="11" t="n">
        <f aca="false">DCF!B46</f>
        <v>2971</v>
      </c>
      <c r="D7" s="8" t="s">
        <v>13</v>
      </c>
      <c r="E7" s="9" t="n">
        <f aca="false">'Income Statement'!K18</f>
        <v>1719.65</v>
      </c>
      <c r="F7" s="9" t="n">
        <f aca="false">'Income Statement'!L18</f>
        <v>2297.59237592552</v>
      </c>
      <c r="G7" s="9" t="n">
        <f aca="false">'Income Statement'!M18</f>
        <v>2729.98261788641</v>
      </c>
    </row>
    <row r="8" customFormat="false" ht="15" hidden="false" customHeight="false" outlineLevel="0" collapsed="false">
      <c r="A8" s="6" t="s">
        <v>14</v>
      </c>
      <c r="B8" s="12" t="n">
        <f aca="false">DCF!B57</f>
        <v>-0.705486368226187</v>
      </c>
      <c r="D8" s="8" t="s">
        <v>15</v>
      </c>
      <c r="E8" s="13" t="n">
        <f aca="false">'Income Statement'!K19</f>
        <v>32.2495467130376</v>
      </c>
      <c r="F8" s="13" t="n">
        <f aca="false">'Income Statement'!L19</f>
        <v>43.0880194544989</v>
      </c>
      <c r="G8" s="13" t="n">
        <f aca="false">'Income Statement'!M19</f>
        <v>51.1968725969287</v>
      </c>
    </row>
    <row r="9" customFormat="false" ht="15" hidden="false" customHeight="false" outlineLevel="0" collapsed="false">
      <c r="A9" s="8" t="s">
        <v>16</v>
      </c>
      <c r="B9" s="14" t="str">
        <f aca="false">DCF!B50</f>
        <v>Perpetuity DCF</v>
      </c>
      <c r="D9" s="8" t="s">
        <v>17</v>
      </c>
      <c r="E9" s="15" t="n">
        <f aca="false">E6/E5</f>
        <v>0.186575212673375</v>
      </c>
      <c r="F9" s="15" t="n">
        <f aca="false">F6/F5</f>
        <v>0.195</v>
      </c>
      <c r="G9" s="15" t="n">
        <f aca="false">G6/G5</f>
        <v>0.198</v>
      </c>
    </row>
    <row r="10" customFormat="false" ht="15" hidden="false" customHeight="false" outlineLevel="0" collapsed="false">
      <c r="A10" s="8" t="s">
        <v>18</v>
      </c>
      <c r="B10" s="16" t="n">
        <f aca="false">DCF!B51</f>
        <v>12</v>
      </c>
    </row>
    <row r="11" customFormat="false" ht="15" hidden="false" customHeight="false" outlineLevel="0" collapsed="false">
      <c r="A11" s="8" t="s">
        <v>19</v>
      </c>
      <c r="B11" s="14" t="str">
        <f aca="false">Scenarios!B5</f>
        <v>Base</v>
      </c>
    </row>
    <row r="12" customFormat="false" ht="15" hidden="false" customHeight="false" outlineLevel="0" collapsed="false">
      <c r="A12" s="3" t="s">
        <v>20</v>
      </c>
      <c r="B12" s="4" t="s">
        <v>3</v>
      </c>
    </row>
    <row r="13" customFormat="false" ht="15" hidden="false" customHeight="false" outlineLevel="0" collapsed="false">
      <c r="A13" s="8" t="s">
        <v>21</v>
      </c>
      <c r="B13" s="17" t="n">
        <f aca="false">DCF!B45</f>
        <v>772.277801040643</v>
      </c>
    </row>
    <row r="14" customFormat="false" ht="15" hidden="false" customHeight="false" outlineLevel="0" collapsed="false">
      <c r="A14" s="8" t="s">
        <v>22</v>
      </c>
      <c r="B14" s="18" t="n">
        <f aca="false">DCF!B27</f>
        <v>0.1344446</v>
      </c>
    </row>
    <row r="15" customFormat="false" ht="15" hidden="false" customHeight="false" outlineLevel="0" collapsed="false">
      <c r="A15" s="8" t="s">
        <v>23</v>
      </c>
      <c r="B15" s="19" t="n">
        <f aca="false">DCF!B28</f>
        <v>0.06</v>
      </c>
    </row>
    <row r="16" customFormat="false" ht="15" hidden="false" customHeight="false" outlineLevel="0" collapsed="false">
      <c r="A16" s="8" t="s">
        <v>24</v>
      </c>
      <c r="B16" s="19" t="n">
        <f aca="false">DCF!B29</f>
        <v>0.2</v>
      </c>
    </row>
    <row r="17" customFormat="false" ht="15" hidden="false" customHeight="false" outlineLevel="0" collapsed="false">
      <c r="A17" s="8" t="s">
        <v>25</v>
      </c>
      <c r="B17" s="19" t="n">
        <f aca="false">DCF!B35</f>
        <v>0.581999377746419</v>
      </c>
    </row>
    <row r="18" customFormat="false" ht="15" hidden="false" customHeight="false" outlineLevel="0" collapsed="false">
      <c r="A18" s="8" t="s">
        <v>26</v>
      </c>
      <c r="B18" s="9" t="n">
        <f aca="false">DCF!B34</f>
        <v>39462.3524178342</v>
      </c>
    </row>
    <row r="19" customFormat="false" ht="15" hidden="false" customHeight="false" outlineLevel="0" collapsed="false">
      <c r="A19" s="8" t="s">
        <v>27</v>
      </c>
      <c r="B19" s="9" t="n">
        <f aca="false">DCF!B43</f>
        <v>41180.3468860122</v>
      </c>
    </row>
    <row r="21" customFormat="false" ht="15" hidden="false" customHeight="false" outlineLevel="0" collapsed="false">
      <c r="A21" s="3" t="s">
        <v>28</v>
      </c>
      <c r="B21" s="4" t="s">
        <v>29</v>
      </c>
    </row>
    <row r="22" customFormat="false" ht="15" hidden="false" customHeight="false" outlineLevel="0" collapsed="false">
      <c r="A22" s="8" t="s">
        <v>30</v>
      </c>
      <c r="B22" s="17" t="n">
        <f aca="false">Scenarios!C36</f>
        <v>875</v>
      </c>
    </row>
    <row r="23" customFormat="false" ht="15" hidden="false" customHeight="false" outlineLevel="0" collapsed="false">
      <c r="A23" s="8" t="s">
        <v>31</v>
      </c>
      <c r="B23" s="17" t="n">
        <f aca="false">Scenarios!C37</f>
        <v>1180</v>
      </c>
    </row>
    <row r="24" customFormat="false" ht="15" hidden="false" customHeight="false" outlineLevel="0" collapsed="false">
      <c r="A24" s="8" t="s">
        <v>32</v>
      </c>
      <c r="B24" s="17" t="n">
        <f aca="false">Scenarios!C38</f>
        <v>545</v>
      </c>
    </row>
    <row r="25" customFormat="false" ht="15" hidden="false" customHeight="false" outlineLevel="0" collapsed="false">
      <c r="A25" s="8" t="s">
        <v>33</v>
      </c>
      <c r="B25" s="17" t="n">
        <f aca="false">DCF!B68</f>
        <v>3691.93445328982</v>
      </c>
    </row>
    <row r="26" customFormat="false" ht="15" hidden="false" customHeight="false" outlineLevel="0" collapsed="false">
      <c r="A26" s="8" t="s">
        <v>34</v>
      </c>
      <c r="B26" s="17" t="n">
        <f aca="false">DCF!B70</f>
        <v>2424.05680792582</v>
      </c>
    </row>
    <row r="27" customFormat="false" ht="15" hidden="false" customHeight="false" outlineLevel="0" collapsed="false">
      <c r="A27" s="8" t="s">
        <v>35</v>
      </c>
      <c r="B27" s="17" t="n">
        <f aca="false">DCF!B46</f>
        <v>2971</v>
      </c>
    </row>
    <row r="28" customFormat="false" ht="15" hidden="false" customHeight="false" outlineLevel="0" collapsed="false">
      <c r="A28" s="20" t="s">
        <v>36</v>
      </c>
    </row>
  </sheetData>
  <sheetProtection sheet="true" formatColumns="false" formatRows="false"/>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2"/>
    <col collapsed="false" customWidth="true" hidden="false" outlineLevel="0" max="5" min="2" style="0" width="18"/>
  </cols>
  <sheetData>
    <row r="1" customFormat="false" ht="19.7" hidden="false" customHeight="false" outlineLevel="0" collapsed="false">
      <c r="A1" s="21" t="s">
        <v>37</v>
      </c>
    </row>
    <row r="3" customFormat="false" ht="15" hidden="false" customHeight="false" outlineLevel="0" collapsed="false">
      <c r="A3" s="6" t="s">
        <v>38</v>
      </c>
      <c r="B3" s="8" t="s">
        <v>39</v>
      </c>
    </row>
    <row r="4" customFormat="false" ht="15" hidden="false" customHeight="false" outlineLevel="0" collapsed="false">
      <c r="A4" s="6" t="s">
        <v>40</v>
      </c>
      <c r="B4" s="8" t="s">
        <v>41</v>
      </c>
    </row>
    <row r="5" customFormat="false" ht="15" hidden="false" customHeight="false" outlineLevel="0" collapsed="false">
      <c r="A5" s="6" t="s">
        <v>42</v>
      </c>
      <c r="B5" s="8" t="s">
        <v>43</v>
      </c>
    </row>
    <row r="6" customFormat="false" ht="15" hidden="false" customHeight="false" outlineLevel="0" collapsed="false">
      <c r="A6" s="6" t="s">
        <v>44</v>
      </c>
      <c r="B6" s="8" t="s">
        <v>45</v>
      </c>
    </row>
    <row r="7" customFormat="false" ht="15" hidden="false" customHeight="false" outlineLevel="0" collapsed="false">
      <c r="A7" s="6" t="s">
        <v>46</v>
      </c>
      <c r="B7" s="8" t="s">
        <v>47</v>
      </c>
    </row>
    <row r="8" customFormat="false" ht="15" hidden="false" customHeight="false" outlineLevel="0" collapsed="false">
      <c r="A8" s="6" t="s">
        <v>48</v>
      </c>
      <c r="B8" s="8" t="s">
        <v>49</v>
      </c>
    </row>
    <row r="9" customFormat="false" ht="15" hidden="false" customHeight="false" outlineLevel="0" collapsed="false">
      <c r="A9" s="6" t="s">
        <v>50</v>
      </c>
      <c r="B9" s="6" t="s">
        <v>51</v>
      </c>
    </row>
    <row r="11" customFormat="false" ht="15" hidden="false" customHeight="false" outlineLevel="0" collapsed="false">
      <c r="A11" s="22" t="s">
        <v>52</v>
      </c>
    </row>
    <row r="12" customFormat="false" ht="15" hidden="false" customHeight="false" outlineLevel="0" collapsed="false">
      <c r="A12" s="23" t="s">
        <v>53</v>
      </c>
      <c r="B12" s="0" t="s">
        <v>54</v>
      </c>
      <c r="C12" s="0" t="n">
        <v>0</v>
      </c>
      <c r="D12" s="0" t="s">
        <v>55</v>
      </c>
    </row>
    <row r="13" customFormat="false" ht="15" hidden="false" customHeight="false" outlineLevel="0" collapsed="false">
      <c r="A13" s="23" t="s">
        <v>56</v>
      </c>
      <c r="B13" s="0" t="s">
        <v>54</v>
      </c>
      <c r="C13" s="0" t="n">
        <v>0</v>
      </c>
      <c r="D13" s="0" t="s">
        <v>57</v>
      </c>
    </row>
    <row r="14" customFormat="false" ht="15" hidden="false" customHeight="false" outlineLevel="0" collapsed="false">
      <c r="A14" s="23" t="s">
        <v>58</v>
      </c>
      <c r="B14" s="0" t="s">
        <v>54</v>
      </c>
      <c r="C14" s="0" t="n">
        <v>0</v>
      </c>
      <c r="D14" s="0" t="s">
        <v>57</v>
      </c>
    </row>
    <row r="15" customFormat="false" ht="15" hidden="false" customHeight="false" outlineLevel="0" collapsed="false">
      <c r="A15" s="23" t="s">
        <v>59</v>
      </c>
      <c r="B15" s="0" t="s">
        <v>54</v>
      </c>
      <c r="C15" s="0" t="n">
        <v>0</v>
      </c>
      <c r="D15" s="0" t="s">
        <v>57</v>
      </c>
    </row>
    <row r="16" customFormat="false" ht="15" hidden="false" customHeight="false" outlineLevel="0" collapsed="false">
      <c r="A16" s="24" t="s">
        <v>60</v>
      </c>
      <c r="B16" s="0" t="s">
        <v>61</v>
      </c>
      <c r="C16" s="0" t="n">
        <v>651.64</v>
      </c>
      <c r="D16" s="0" t="s">
        <v>62</v>
      </c>
    </row>
    <row r="17" customFormat="false" ht="15" hidden="false" customHeight="false" outlineLevel="0" collapsed="false">
      <c r="A17" s="23" t="s">
        <v>63</v>
      </c>
      <c r="B17" s="0" t="s">
        <v>61</v>
      </c>
      <c r="C17" s="0" t="n">
        <v>0</v>
      </c>
      <c r="D17" s="0" t="s">
        <v>64</v>
      </c>
    </row>
    <row r="18" customFormat="false" ht="15" hidden="false" customHeight="false" outlineLevel="0" collapsed="false">
      <c r="A18" s="24" t="s">
        <v>65</v>
      </c>
      <c r="B18" s="0" t="s">
        <v>61</v>
      </c>
      <c r="C18" s="0" t="n">
        <v>2370.43</v>
      </c>
      <c r="D18" s="0" t="s">
        <v>66</v>
      </c>
    </row>
    <row r="19" customFormat="false" ht="15" hidden="false" customHeight="false" outlineLevel="0" collapsed="false">
      <c r="A19" s="23" t="s">
        <v>67</v>
      </c>
      <c r="B19" s="0" t="s">
        <v>54</v>
      </c>
      <c r="C19" s="0" t="n">
        <v>0</v>
      </c>
      <c r="D19" s="0" t="s">
        <v>6</v>
      </c>
    </row>
    <row r="20" customFormat="false" ht="15" hidden="false" customHeight="false" outlineLevel="0" collapsed="false">
      <c r="A20" s="23" t="s">
        <v>68</v>
      </c>
      <c r="B20" s="0" t="s">
        <v>54</v>
      </c>
      <c r="C20" s="0" t="n">
        <v>0</v>
      </c>
      <c r="D20" s="0" t="s">
        <v>69</v>
      </c>
    </row>
    <row r="21" customFormat="false" ht="15" hidden="false" customHeight="false" outlineLevel="0" collapsed="false">
      <c r="A21" s="23" t="s">
        <v>70</v>
      </c>
      <c r="B21" s="0" t="s">
        <v>54</v>
      </c>
      <c r="C21" s="0" t="n">
        <v>6773.0353</v>
      </c>
      <c r="D21" s="0" t="s">
        <v>6</v>
      </c>
    </row>
    <row r="22" customFormat="false" ht="15" hidden="false" customHeight="false" outlineLevel="0" collapsed="false">
      <c r="A22" s="23" t="s">
        <v>71</v>
      </c>
      <c r="B22" s="0" t="s">
        <v>54</v>
      </c>
      <c r="C22" s="0" t="n">
        <v>9098.465</v>
      </c>
      <c r="D22" s="0" t="s">
        <v>6</v>
      </c>
    </row>
    <row r="23" customFormat="false" ht="15" hidden="false" customHeight="false" outlineLevel="0" collapsed="false">
      <c r="A23" s="23" t="s">
        <v>72</v>
      </c>
      <c r="B23" s="0" t="s">
        <v>54</v>
      </c>
      <c r="C23" s="0" t="n">
        <v>0</v>
      </c>
      <c r="D23" s="0" t="s">
        <v>5</v>
      </c>
    </row>
    <row r="24" customFormat="false" ht="15" hidden="false" customHeight="false" outlineLevel="0" collapsed="false">
      <c r="A24" s="23" t="s">
        <v>73</v>
      </c>
      <c r="B24" s="0" t="s">
        <v>61</v>
      </c>
      <c r="C24" s="0" t="n">
        <v>0</v>
      </c>
      <c r="D24" s="0" t="s">
        <v>74</v>
      </c>
    </row>
    <row r="25" customFormat="false" ht="15" hidden="false" customHeight="false" outlineLevel="0" collapsed="false">
      <c r="A25" s="23" t="s">
        <v>75</v>
      </c>
      <c r="B25" s="0" t="s">
        <v>61</v>
      </c>
      <c r="C25" s="0" t="n">
        <v>0</v>
      </c>
      <c r="D25" s="0" t="s">
        <v>74</v>
      </c>
    </row>
    <row r="26" customFormat="false" ht="15" hidden="false" customHeight="false" outlineLevel="0" collapsed="false">
      <c r="A26" s="23" t="s">
        <v>76</v>
      </c>
      <c r="B26" s="0" t="s">
        <v>61</v>
      </c>
      <c r="C26" s="0" t="n">
        <v>0</v>
      </c>
      <c r="D26" s="0" t="s">
        <v>74</v>
      </c>
    </row>
    <row r="27" customFormat="false" ht="15" hidden="false" customHeight="false" outlineLevel="0" collapsed="false">
      <c r="A27" s="23" t="s">
        <v>77</v>
      </c>
      <c r="B27" s="0" t="s">
        <v>61</v>
      </c>
      <c r="C27" s="0" t="n">
        <v>0</v>
      </c>
      <c r="D27" s="0" t="s">
        <v>74</v>
      </c>
    </row>
    <row r="29" customFormat="false" ht="15" hidden="false" customHeight="false" outlineLevel="0" collapsed="false">
      <c r="A29" s="22" t="s">
        <v>78</v>
      </c>
    </row>
    <row r="30" customFormat="false" ht="15" hidden="false" customHeight="false" outlineLevel="0" collapsed="false">
      <c r="A30" s="25" t="s">
        <v>79</v>
      </c>
      <c r="B30" s="25" t="s">
        <v>80</v>
      </c>
      <c r="C30" s="25" t="s">
        <v>81</v>
      </c>
      <c r="D30" s="25" t="s">
        <v>82</v>
      </c>
      <c r="E30" s="25" t="s">
        <v>83</v>
      </c>
    </row>
    <row r="31" customFormat="false" ht="15" hidden="false" customHeight="false" outlineLevel="0" collapsed="false">
      <c r="A31" s="8" t="s">
        <v>84</v>
      </c>
      <c r="B31" s="8" t="s">
        <v>5</v>
      </c>
      <c r="C31" s="8" t="n">
        <v>35.5487461</v>
      </c>
      <c r="D31" s="8" t="n">
        <v>53.3232301</v>
      </c>
      <c r="E31" s="8" t="n">
        <v>50</v>
      </c>
    </row>
    <row r="33" customFormat="false" ht="15" hidden="false" customHeight="false" outlineLevel="0" collapsed="false">
      <c r="A33" s="22" t="s">
        <v>85</v>
      </c>
    </row>
    <row r="34" customFormat="false" ht="15" hidden="false" customHeight="false" outlineLevel="0" collapsed="false">
      <c r="A34" s="8" t="s">
        <v>86</v>
      </c>
      <c r="B34" s="8" t="s">
        <v>87</v>
      </c>
    </row>
    <row r="35" customFormat="false" ht="15" hidden="false" customHeight="false" outlineLevel="0" collapsed="false">
      <c r="A35" s="8" t="s">
        <v>84</v>
      </c>
      <c r="B35" s="8" t="s">
        <v>88</v>
      </c>
    </row>
    <row r="37" customFormat="false" ht="15" hidden="false" customHeight="false" outlineLevel="0" collapsed="false">
      <c r="A37" s="22" t="s">
        <v>89</v>
      </c>
    </row>
    <row r="38" customFormat="false" ht="15" hidden="false" customHeight="false" outlineLevel="0" collapsed="false">
      <c r="A38" s="8" t="s">
        <v>90</v>
      </c>
    </row>
    <row r="39" customFormat="false" ht="15" hidden="false" customHeight="false" outlineLevel="0" collapsed="false">
      <c r="A39" s="8" t="s">
        <v>91</v>
      </c>
    </row>
    <row r="40" customFormat="false" ht="15" hidden="false" customHeight="false" outlineLevel="0" collapsed="false">
      <c r="A40" s="8" t="s">
        <v>92</v>
      </c>
    </row>
    <row r="41" customFormat="false" ht="15" hidden="false" customHeight="false" outlineLevel="0" collapsed="false">
      <c r="A41" s="8" t="s">
        <v>93</v>
      </c>
    </row>
    <row r="42" customFormat="false" ht="15" hidden="false" customHeight="false" outlineLevel="0" collapsed="false">
      <c r="A42" s="8" t="s">
        <v>94</v>
      </c>
    </row>
    <row r="43" customFormat="false" ht="15" hidden="false" customHeight="false" outlineLevel="0" collapsed="false">
      <c r="A43" s="8" t="s">
        <v>95</v>
      </c>
    </row>
    <row r="44" customFormat="false" ht="15" hidden="false" customHeight="false" outlineLevel="0" collapsed="false">
      <c r="A44" s="8" t="s">
        <v>96</v>
      </c>
    </row>
    <row r="46" customFormat="false" ht="15" hidden="false" customHeight="false" outlineLevel="0" collapsed="false">
      <c r="A46" s="26" t="s">
        <v>97</v>
      </c>
    </row>
    <row r="47" customFormat="false" ht="15" hidden="false" customHeight="false" outlineLevel="0" collapsed="false">
      <c r="A47" s="0" t="s">
        <v>98</v>
      </c>
    </row>
    <row r="48" customFormat="false" ht="15" hidden="false" customHeight="false" outlineLevel="0" collapsed="false">
      <c r="A48" s="0" t="s">
        <v>99</v>
      </c>
    </row>
    <row r="49" customFormat="false" ht="15" hidden="false" customHeight="false" outlineLevel="0" collapsed="false">
      <c r="A49" s="0" t="s">
        <v>100</v>
      </c>
    </row>
    <row r="50" customFormat="false" ht="15" hidden="false" customHeight="false" outlineLevel="0" collapsed="false">
      <c r="A50" s="0" t="s">
        <v>101</v>
      </c>
    </row>
    <row r="51" customFormat="false" ht="15" hidden="false" customHeight="false" outlineLevel="0" collapsed="false">
      <c r="A51" s="0" t="s">
        <v>102</v>
      </c>
    </row>
    <row r="53" customFormat="false" ht="15" hidden="false" customHeight="false" outlineLevel="0" collapsed="false">
      <c r="A53" s="26" t="s">
        <v>103</v>
      </c>
    </row>
    <row r="54" customFormat="false" ht="15" hidden="false" customHeight="false" outlineLevel="0" collapsed="false">
      <c r="A54" s="0" t="s">
        <v>104</v>
      </c>
    </row>
    <row r="55" customFormat="false" ht="15" hidden="false" customHeight="false" outlineLevel="0" collapsed="false">
      <c r="A55" s="0" t="s">
        <v>105</v>
      </c>
    </row>
  </sheetData>
  <sheetProtection sheet="true" formatColumns="false" formatRows="false"/>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2" min="3" style="0" width="13"/>
  </cols>
  <sheetData>
    <row r="1" customFormat="false" ht="17.35" hidden="false" customHeight="false" outlineLevel="0" collapsed="false">
      <c r="A1" s="1" t="s">
        <v>106</v>
      </c>
    </row>
    <row r="2" customFormat="false" ht="15" hidden="false" customHeight="false" outlineLevel="0" collapsed="false">
      <c r="A2" s="2" t="s">
        <v>107</v>
      </c>
    </row>
    <row r="4" customFormat="false" ht="15" hidden="false" customHeight="false" outlineLevel="0" collapsed="false">
      <c r="A4" s="5" t="s">
        <v>108</v>
      </c>
      <c r="B4" s="27" t="s">
        <v>109</v>
      </c>
      <c r="C4" s="27" t="s">
        <v>110</v>
      </c>
      <c r="D4" s="27" t="s">
        <v>111</v>
      </c>
      <c r="E4" s="27" t="s">
        <v>62</v>
      </c>
      <c r="F4" s="27" t="s">
        <v>66</v>
      </c>
      <c r="G4" s="27" t="s">
        <v>112</v>
      </c>
      <c r="H4" s="27" t="s">
        <v>113</v>
      </c>
      <c r="I4" s="27" t="s">
        <v>114</v>
      </c>
      <c r="J4" s="27" t="s">
        <v>64</v>
      </c>
      <c r="K4" s="27" t="s">
        <v>5</v>
      </c>
      <c r="L4" s="27" t="s">
        <v>6</v>
      </c>
      <c r="M4" s="27" t="s">
        <v>7</v>
      </c>
      <c r="N4" s="27" t="s">
        <v>69</v>
      </c>
      <c r="O4" s="27" t="s">
        <v>115</v>
      </c>
      <c r="P4" s="27" t="s">
        <v>116</v>
      </c>
      <c r="Q4" s="27" t="s">
        <v>117</v>
      </c>
      <c r="R4" s="27" t="s">
        <v>118</v>
      </c>
      <c r="S4" s="27" t="s">
        <v>119</v>
      </c>
      <c r="T4" s="27" t="s">
        <v>55</v>
      </c>
      <c r="U4" s="27" t="s">
        <v>57</v>
      </c>
    </row>
    <row r="5" customFormat="false" ht="15" hidden="false" customHeight="false" outlineLevel="0" collapsed="false">
      <c r="A5" s="28" t="s">
        <v>120</v>
      </c>
      <c r="B5" s="29"/>
      <c r="C5" s="29"/>
      <c r="D5" s="29"/>
      <c r="E5" s="29"/>
      <c r="F5" s="29"/>
      <c r="G5" s="29"/>
      <c r="H5" s="29"/>
      <c r="I5" s="29"/>
      <c r="J5" s="29"/>
      <c r="K5" s="29"/>
      <c r="L5" s="29"/>
      <c r="M5" s="29"/>
      <c r="N5" s="29"/>
      <c r="O5" s="29"/>
      <c r="P5" s="29"/>
      <c r="Q5" s="29"/>
      <c r="R5" s="29"/>
      <c r="S5" s="29"/>
      <c r="T5" s="29"/>
      <c r="U5" s="29"/>
    </row>
    <row r="6" customFormat="false" ht="15" hidden="false" customHeight="false" outlineLevel="0" collapsed="false">
      <c r="A6" s="6" t="s">
        <v>9</v>
      </c>
      <c r="B6" s="30" t="n">
        <f aca="false">'Income Statement'!B6</f>
        <v>1812.44</v>
      </c>
      <c r="C6" s="30" t="n">
        <f aca="false">'Income Statement'!C6</f>
        <v>2157.46</v>
      </c>
      <c r="D6" s="30" t="n">
        <f aca="false">'Income Statement'!D6</f>
        <v>2630.24</v>
      </c>
      <c r="E6" s="30" t="n">
        <f aca="false">'Income Statement'!E6</f>
        <v>3485.98</v>
      </c>
      <c r="F6" s="30" t="n">
        <f aca="false">'Income Statement'!F6</f>
        <v>2592.96</v>
      </c>
      <c r="G6" s="30" t="n">
        <f aca="false">'Income Statement'!G6</f>
        <v>4498.02</v>
      </c>
      <c r="H6" s="30" t="n">
        <f aca="false">'Income Statement'!H6</f>
        <v>8242.02</v>
      </c>
      <c r="I6" s="30" t="n">
        <f aca="false">'Income Statement'!I6</f>
        <v>12375.11</v>
      </c>
      <c r="J6" s="30" t="n">
        <f aca="false">'Income Statement'!J6</f>
        <v>17134.61</v>
      </c>
      <c r="K6" s="30" t="n">
        <f aca="false">'Income Statement'!K6</f>
        <v>20074.21</v>
      </c>
      <c r="L6" s="31" t="n">
        <f aca="false">'Income Statement'!L6</f>
        <v>24085.037158</v>
      </c>
      <c r="M6" s="31" t="n">
        <f aca="false">'Income Statement'!M6</f>
        <v>27931.4175921326</v>
      </c>
      <c r="N6" s="31" t="n">
        <f aca="false">'Income Statement'!N6</f>
        <v>32299.8913035421</v>
      </c>
      <c r="O6" s="31" t="n">
        <f aca="false">'Income Statement'!O6</f>
        <v>36993.0655099468</v>
      </c>
      <c r="P6" s="31" t="n">
        <f aca="false">'Income Statement'!P6</f>
        <v>42016.7238061976</v>
      </c>
      <c r="Q6" s="31" t="n">
        <f aca="false">'Income Statement'!Q6</f>
        <v>47193.1841791211</v>
      </c>
      <c r="R6" s="31" t="n">
        <f aca="false">'Income Statement'!R6</f>
        <v>52587.3651307947</v>
      </c>
      <c r="S6" s="31" t="n">
        <f aca="false">'Income Statement'!S6</f>
        <v>57988.0875297273</v>
      </c>
      <c r="T6" s="31" t="n">
        <f aca="false">'Income Statement'!T6</f>
        <v>63676.7189163935</v>
      </c>
      <c r="U6" s="31" t="n">
        <f aca="false">'Income Statement'!U6</f>
        <v>69732.3748853426</v>
      </c>
    </row>
    <row r="7" customFormat="false" ht="15" hidden="false" customHeight="false" outlineLevel="0" collapsed="false">
      <c r="A7" s="32" t="s">
        <v>121</v>
      </c>
      <c r="B7" s="19" t="n">
        <f aca="false">(IFERROR(('Income Statement'!B6)/(0),0)-1)</f>
        <v>-1</v>
      </c>
      <c r="C7" s="19" t="n">
        <f aca="false">(IFERROR(('Income Statement'!C6)/('Income Statement'!B6),0)-1)</f>
        <v>0.190362163713006</v>
      </c>
      <c r="D7" s="19" t="n">
        <f aca="false">(IFERROR(('Income Statement'!D6)/('Income Statement'!C6),0)-1)</f>
        <v>0.219137318884243</v>
      </c>
      <c r="E7" s="19" t="n">
        <f aca="false">(IFERROR(('Income Statement'!E6)/('Income Statement'!D6),0)-1)</f>
        <v>0.32534673641949</v>
      </c>
      <c r="F7" s="19" t="n">
        <f aca="false">(IFERROR(('Income Statement'!F6)/('Income Statement'!E6),0)-1)</f>
        <v>-0.25617473422108</v>
      </c>
      <c r="G7" s="19" t="n">
        <f aca="false">(IFERROR(('Income Statement'!G6)/('Income Statement'!F6),0)-1)</f>
        <v>0.734704738985561</v>
      </c>
      <c r="H7" s="19" t="n">
        <f aca="false">(IFERROR(('Income Statement'!H6)/('Income Statement'!G6),0)-1)</f>
        <v>0.832366241146104</v>
      </c>
      <c r="I7" s="19" t="n">
        <f aca="false">(IFERROR(('Income Statement'!I6)/('Income Statement'!H6),0)-1)</f>
        <v>0.501465660117301</v>
      </c>
      <c r="J7" s="19" t="n">
        <f aca="false">(IFERROR(('Income Statement'!J6)/('Income Statement'!I6),0)-1)</f>
        <v>0.38460264191591</v>
      </c>
      <c r="K7" s="19" t="n">
        <f aca="false">(IFERROR(('Income Statement'!K6)/('Income Statement'!J6),0)-1)</f>
        <v>0.171559200938918</v>
      </c>
      <c r="L7" s="33" t="n">
        <f aca="false">(IFERROR(('Income Statement'!L6)/('Income Statement'!K6),0)-1)</f>
        <v>0.1998</v>
      </c>
      <c r="M7" s="33" t="n">
        <f aca="false">(IFERROR(('Income Statement'!M6)/('Income Statement'!L6),0)-1)</f>
        <v>0.1597</v>
      </c>
      <c r="N7" s="33" t="n">
        <f aca="false">(IFERROR(('Income Statement'!N6)/('Income Statement'!M6),0)-1)</f>
        <v>0.1564</v>
      </c>
      <c r="O7" s="33" t="n">
        <f aca="false">(IFERROR(('Income Statement'!O6)/('Income Statement'!N6),0)-1)</f>
        <v>0.1453</v>
      </c>
      <c r="P7" s="33" t="n">
        <f aca="false">(IFERROR(('Income Statement'!P6)/('Income Statement'!O6),0)-1)</f>
        <v>0.1358</v>
      </c>
      <c r="Q7" s="33" t="n">
        <f aca="false">(IFERROR(('Income Statement'!Q6)/('Income Statement'!P6),0)-1)</f>
        <v>0.1232</v>
      </c>
      <c r="R7" s="33" t="n">
        <f aca="false">(IFERROR(('Income Statement'!R6)/('Income Statement'!Q6),0)-1)</f>
        <v>0.1143</v>
      </c>
      <c r="S7" s="33" t="n">
        <f aca="false">(IFERROR(('Income Statement'!S6)/('Income Statement'!R6),0)-1)</f>
        <v>0.1027</v>
      </c>
      <c r="T7" s="33" t="n">
        <f aca="false">(IFERROR(('Income Statement'!T6)/('Income Statement'!S6),0)-1)</f>
        <v>0.0981000000000001</v>
      </c>
      <c r="U7" s="33" t="n">
        <f aca="false">(IFERROR(('Income Statement'!U6)/('Income Statement'!T6),0)-1)</f>
        <v>0.0951</v>
      </c>
    </row>
    <row r="8" customFormat="false" ht="15" hidden="false" customHeight="false" outlineLevel="0" collapsed="false">
      <c r="A8" s="8" t="s">
        <v>11</v>
      </c>
      <c r="B8" s="9" t="n">
        <f aca="false">'Income Statement'!B10</f>
        <v>133.53</v>
      </c>
      <c r="C8" s="9" t="n">
        <f aca="false">'Income Statement'!C10</f>
        <v>208.5</v>
      </c>
      <c r="D8" s="9" t="n">
        <f aca="false">'Income Statement'!D10</f>
        <v>240.64</v>
      </c>
      <c r="E8" s="9" t="n">
        <f aca="false">'Income Statement'!E10</f>
        <v>528.97</v>
      </c>
      <c r="F8" s="9" t="n">
        <f aca="false">'Income Statement'!F10</f>
        <v>113.87</v>
      </c>
      <c r="G8" s="9" t="n">
        <f aca="false">'Income Statement'!G10</f>
        <v>594.72</v>
      </c>
      <c r="H8" s="9" t="n">
        <f aca="false">'Income Statement'!H10</f>
        <v>1114.15</v>
      </c>
      <c r="I8" s="9" t="n">
        <f aca="false">'Income Statement'!I10</f>
        <v>1970.69</v>
      </c>
      <c r="J8" s="9" t="n">
        <f aca="false">'Income Statement'!J10</f>
        <v>2819.96</v>
      </c>
      <c r="K8" s="9" t="n">
        <f aca="false">'Income Statement'!K10</f>
        <v>3745.35</v>
      </c>
      <c r="L8" s="34" t="n">
        <f aca="false">'Income Statement'!L10</f>
        <v>4696.58224581</v>
      </c>
      <c r="M8" s="34" t="n">
        <f aca="false">'Income Statement'!M10</f>
        <v>5530.42068324226</v>
      </c>
      <c r="N8" s="34" t="n">
        <f aca="false">'Income Statement'!N10</f>
        <v>6459.97826070843</v>
      </c>
      <c r="O8" s="34" t="n">
        <f aca="false">'Income Statement'!O10</f>
        <v>7398.61310198936</v>
      </c>
      <c r="P8" s="34" t="n">
        <f aca="false">'Income Statement'!P10</f>
        <v>8403.34476123952</v>
      </c>
      <c r="Q8" s="34" t="n">
        <f aca="false">'Income Statement'!Q10</f>
        <v>9438.63683582423</v>
      </c>
      <c r="R8" s="34" t="n">
        <f aca="false">'Income Statement'!R10</f>
        <v>10517.4730261589</v>
      </c>
      <c r="S8" s="34" t="n">
        <f aca="false">'Income Statement'!S10</f>
        <v>11597.6175059455</v>
      </c>
      <c r="T8" s="34" t="n">
        <f aca="false">'Income Statement'!T10</f>
        <v>12735.3437832787</v>
      </c>
      <c r="U8" s="34" t="n">
        <f aca="false">'Income Statement'!U10</f>
        <v>13946.4749770685</v>
      </c>
    </row>
    <row r="9" customFormat="false" ht="15" hidden="false" customHeight="false" outlineLevel="0" collapsed="false">
      <c r="A9" s="32" t="s">
        <v>122</v>
      </c>
      <c r="B9" s="19" t="n">
        <f aca="false">IFERROR(('Income Statement'!B10)/('Income Statement'!B6),0)</f>
        <v>0.0736741630067754</v>
      </c>
      <c r="C9" s="19" t="n">
        <f aca="false">IFERROR(('Income Statement'!C10)/('Income Statement'!C6),0)</f>
        <v>0.0966414209301679</v>
      </c>
      <c r="D9" s="19" t="n">
        <f aca="false">IFERROR(('Income Statement'!D10)/('Income Statement'!D6),0)</f>
        <v>0.0914897499847923</v>
      </c>
      <c r="E9" s="19" t="n">
        <f aca="false">IFERROR(('Income Statement'!E10)/('Income Statement'!E6),0)</f>
        <v>0.151742121297311</v>
      </c>
      <c r="F9" s="19" t="n">
        <f aca="false">IFERROR(('Income Statement'!F10)/('Income Statement'!F6),0)</f>
        <v>0.0439150623225966</v>
      </c>
      <c r="G9" s="19" t="n">
        <f aca="false">IFERROR(('Income Statement'!G10)/('Income Statement'!G6),0)</f>
        <v>0.132218175997439</v>
      </c>
      <c r="H9" s="19" t="n">
        <f aca="false">IFERROR(('Income Statement'!H10)/('Income Statement'!H6),0)</f>
        <v>0.13517924004067</v>
      </c>
      <c r="I9" s="19" t="n">
        <f aca="false">IFERROR(('Income Statement'!I10)/('Income Statement'!I6),0)</f>
        <v>0.159246261245355</v>
      </c>
      <c r="J9" s="19" t="n">
        <f aca="false">IFERROR(('Income Statement'!J10)/('Income Statement'!J6),0)</f>
        <v>0.16457684184233</v>
      </c>
      <c r="K9" s="19" t="n">
        <f aca="false">IFERROR(('Income Statement'!K10)/('Income Statement'!K6),0)</f>
        <v>0.186575212673375</v>
      </c>
      <c r="L9" s="33" t="n">
        <f aca="false">IFERROR(('Income Statement'!L10)/('Income Statement'!L6),0)</f>
        <v>0.195</v>
      </c>
      <c r="M9" s="33" t="n">
        <f aca="false">IFERROR(('Income Statement'!M10)/('Income Statement'!M6),0)</f>
        <v>0.198</v>
      </c>
      <c r="N9" s="33" t="n">
        <f aca="false">IFERROR(('Income Statement'!N10)/('Income Statement'!N6),0)</f>
        <v>0.2</v>
      </c>
      <c r="O9" s="33" t="n">
        <f aca="false">IFERROR(('Income Statement'!O10)/('Income Statement'!O6),0)</f>
        <v>0.2</v>
      </c>
      <c r="P9" s="33" t="n">
        <f aca="false">IFERROR(('Income Statement'!P10)/('Income Statement'!P6),0)</f>
        <v>0.2</v>
      </c>
      <c r="Q9" s="33" t="n">
        <f aca="false">IFERROR(('Income Statement'!Q10)/('Income Statement'!Q6),0)</f>
        <v>0.2</v>
      </c>
      <c r="R9" s="33" t="n">
        <f aca="false">IFERROR(('Income Statement'!R10)/('Income Statement'!R6),0)</f>
        <v>0.2</v>
      </c>
      <c r="S9" s="33" t="n">
        <f aca="false">IFERROR(('Income Statement'!S10)/('Income Statement'!S6),0)</f>
        <v>0.2</v>
      </c>
      <c r="T9" s="33" t="n">
        <f aca="false">IFERROR(('Income Statement'!T10)/('Income Statement'!T6),0)</f>
        <v>0.2</v>
      </c>
      <c r="U9" s="33" t="n">
        <f aca="false">IFERROR(('Income Statement'!U10)/('Income Statement'!U6),0)</f>
        <v>0.2</v>
      </c>
    </row>
    <row r="10" customFormat="false" ht="15" hidden="false" customHeight="false" outlineLevel="0" collapsed="false">
      <c r="A10" s="8" t="s">
        <v>123</v>
      </c>
      <c r="B10" s="9" t="n">
        <f aca="false">'Income Statement'!B12</f>
        <v>92.24</v>
      </c>
      <c r="C10" s="9" t="n">
        <f aca="false">'Income Statement'!C12</f>
        <v>162.97</v>
      </c>
      <c r="D10" s="9" t="n">
        <f aca="false">'Income Statement'!D12</f>
        <v>188.97</v>
      </c>
      <c r="E10" s="9" t="n">
        <f aca="false">'Income Statement'!E12</f>
        <v>281.73</v>
      </c>
      <c r="F10" s="9" t="n">
        <f aca="false">'Income Statement'!F12</f>
        <v>-143.43</v>
      </c>
      <c r="G10" s="9" t="n">
        <f aca="false">'Income Statement'!G12</f>
        <v>283.9</v>
      </c>
      <c r="H10" s="9" t="n">
        <f aca="false">'Income Statement'!H12</f>
        <v>620.46</v>
      </c>
      <c r="I10" s="9" t="n">
        <f aca="false">'Income Statement'!I12</f>
        <v>1299.58</v>
      </c>
      <c r="J10" s="9" t="n">
        <f aca="false">'Income Statement'!J12</f>
        <v>1924.78</v>
      </c>
      <c r="K10" s="9" t="n">
        <f aca="false">'Income Statement'!K12</f>
        <v>2384.16</v>
      </c>
      <c r="L10" s="34" t="n">
        <f aca="false">'Income Statement'!L12</f>
        <v>3108.84315277232</v>
      </c>
      <c r="M10" s="34" t="n">
        <f aca="false">'Income Statement'!M12</f>
        <v>3581.82138140756</v>
      </c>
      <c r="N10" s="34" t="n">
        <f aca="false">'Income Statement'!N12</f>
        <v>4180.01003855951</v>
      </c>
      <c r="O10" s="34" t="n">
        <f aca="false">'Income Statement'!O12</f>
        <v>4808.1536199415</v>
      </c>
      <c r="P10" s="34" t="n">
        <f aca="false">'Income Statement'!P12</f>
        <v>5536.44201597553</v>
      </c>
      <c r="Q10" s="34" t="n">
        <f aca="false">'Income Statement'!Q12</f>
        <v>6320.69157255416</v>
      </c>
      <c r="R10" s="34" t="n">
        <f aca="false">'Income Statement'!R12</f>
        <v>7183.20765755031</v>
      </c>
      <c r="S10" s="34" t="n">
        <f aca="false">'Income Statement'!S12</f>
        <v>8057.65795444634</v>
      </c>
      <c r="T10" s="34" t="n">
        <f aca="false">'Income Statement'!T12</f>
        <v>9012.64243122071</v>
      </c>
      <c r="U10" s="34" t="n">
        <f aca="false">'Income Statement'!U12</f>
        <v>10049.0492104614</v>
      </c>
    </row>
    <row r="11" customFormat="false" ht="15" hidden="false" customHeight="false" outlineLevel="0" collapsed="false">
      <c r="A11" s="8" t="s">
        <v>13</v>
      </c>
      <c r="B11" s="9" t="n">
        <f aca="false">'Income Statement'!B18</f>
        <v>84.86</v>
      </c>
      <c r="C11" s="9" t="n">
        <f aca="false">'Income Statement'!C18</f>
        <v>86.97</v>
      </c>
      <c r="D11" s="9" t="n">
        <f aca="false">'Income Statement'!D18</f>
        <v>96.96</v>
      </c>
      <c r="E11" s="9" t="n">
        <f aca="false">'Income Statement'!E18</f>
        <v>122.85</v>
      </c>
      <c r="F11" s="9" t="n">
        <f aca="false">'Income Statement'!F18</f>
        <v>-146.17</v>
      </c>
      <c r="G11" s="9" t="n">
        <f aca="false">'Income Statement'!G18</f>
        <v>105.83</v>
      </c>
      <c r="H11" s="9" t="n">
        <f aca="false">'Income Statement'!H18</f>
        <v>444.63</v>
      </c>
      <c r="I11" s="9" t="n">
        <f aca="false">'Income Statement'!I18</f>
        <v>1486.8</v>
      </c>
      <c r="J11" s="9" t="n">
        <f aca="false">'Income Statement'!J18</f>
        <v>1546.72</v>
      </c>
      <c r="K11" s="9" t="n">
        <f aca="false">'Income Statement'!K18</f>
        <v>1719.65</v>
      </c>
      <c r="L11" s="34" t="n">
        <f aca="false">'Income Statement'!L18</f>
        <v>2297.59237592552</v>
      </c>
      <c r="M11" s="34" t="n">
        <f aca="false">'Income Statement'!M18</f>
        <v>2729.98261788641</v>
      </c>
      <c r="N11" s="34" t="n">
        <f aca="false">'Income Statement'!N18</f>
        <v>3271.45880949378</v>
      </c>
      <c r="O11" s="34" t="n">
        <f aca="false">'Income Statement'!O18</f>
        <v>3857.18639932737</v>
      </c>
      <c r="P11" s="34" t="n">
        <f aca="false">'Income Statement'!P18</f>
        <v>4546.17736705046</v>
      </c>
      <c r="Q11" s="34" t="n">
        <f aca="false">'Income Statement'!Q18</f>
        <v>5315.26639953276</v>
      </c>
      <c r="R11" s="34" t="n">
        <f aca="false">'Income Statement'!R18</f>
        <v>6184.63508282016</v>
      </c>
      <c r="S11" s="34" t="n">
        <f aca="false">'Income Statement'!S18</f>
        <v>7106.16865711659</v>
      </c>
      <c r="T11" s="34" t="n">
        <f aca="false">'Income Statement'!T18</f>
        <v>8135.90867375708</v>
      </c>
      <c r="U11" s="34" t="n">
        <f aca="false">'Income Statement'!U18</f>
        <v>9277.98310492531</v>
      </c>
    </row>
    <row r="12" customFormat="false" ht="15" hidden="false" customHeight="false" outlineLevel="0" collapsed="false">
      <c r="A12" s="8" t="s">
        <v>124</v>
      </c>
      <c r="B12" s="35" t="n">
        <f aca="false">'Income Statement'!B19</f>
        <v>2.55358795809046</v>
      </c>
      <c r="C12" s="35" t="n">
        <f aca="false">'Income Statement'!C19</f>
        <v>2.6170816016395</v>
      </c>
      <c r="D12" s="35" t="n">
        <f aca="false">'Income Statement'!D19</f>
        <v>2.9176984258361</v>
      </c>
      <c r="E12" s="35" t="n">
        <f aca="false">'Income Statement'!E19</f>
        <v>3.45581809424215</v>
      </c>
      <c r="F12" s="35" t="n">
        <f aca="false">'Income Statement'!F19</f>
        <v>-4.11181872881868</v>
      </c>
      <c r="G12" s="35" t="n">
        <f aca="false">'Income Statement'!G19</f>
        <v>2.97703890039598</v>
      </c>
      <c r="H12" s="35" t="n">
        <f aca="false">'Income Statement'!H19</f>
        <v>12.5076141574513</v>
      </c>
      <c r="I12" s="35" t="n">
        <f aca="false">'Income Statement'!I19</f>
        <v>41.8242600123665</v>
      </c>
      <c r="J12" s="35" t="n">
        <f aca="false">'Income Statement'!J19</f>
        <v>43.5098328264242</v>
      </c>
      <c r="K12" s="35" t="n">
        <f aca="false">'Income Statement'!K19</f>
        <v>32.2495467130376</v>
      </c>
      <c r="L12" s="36" t="n">
        <f aca="false">'Income Statement'!L19</f>
        <v>43.0880194544989</v>
      </c>
      <c r="M12" s="36" t="n">
        <f aca="false">'Income Statement'!M19</f>
        <v>51.1968725969287</v>
      </c>
      <c r="N12" s="36" t="n">
        <f aca="false">'Income Statement'!N19</f>
        <v>61.3514748329879</v>
      </c>
      <c r="O12" s="36" t="n">
        <f aca="false">'Income Statement'!O19</f>
        <v>72.3359479929062</v>
      </c>
      <c r="P12" s="36" t="n">
        <f aca="false">'Income Statement'!P19</f>
        <v>85.2569763407949</v>
      </c>
      <c r="Q12" s="36" t="n">
        <f aca="false">'Income Statement'!Q19</f>
        <v>99.6801279585791</v>
      </c>
      <c r="R12" s="36" t="n">
        <f aca="false">'Income Statement'!R19</f>
        <v>115.98387928154</v>
      </c>
      <c r="S12" s="36" t="n">
        <f aca="false">'Income Statement'!S19</f>
        <v>133.265907631439</v>
      </c>
      <c r="T12" s="36" t="n">
        <f aca="false">'Income Statement'!T19</f>
        <v>152.577191188519</v>
      </c>
      <c r="U12" s="36" t="n">
        <f aca="false">'Income Statement'!U19</f>
        <v>173.995144096218</v>
      </c>
    </row>
    <row r="13" customFormat="false" ht="15" hidden="false" customHeight="false" outlineLevel="0" collapsed="false">
      <c r="A13" s="28" t="s">
        <v>125</v>
      </c>
      <c r="B13" s="29"/>
      <c r="C13" s="29"/>
      <c r="D13" s="29"/>
      <c r="E13" s="29"/>
      <c r="F13" s="29"/>
      <c r="G13" s="29"/>
      <c r="H13" s="29"/>
      <c r="I13" s="29"/>
      <c r="J13" s="29"/>
      <c r="K13" s="29"/>
      <c r="L13" s="29"/>
      <c r="M13" s="29"/>
      <c r="N13" s="29"/>
      <c r="O13" s="29"/>
      <c r="P13" s="29"/>
      <c r="Q13" s="29"/>
      <c r="R13" s="29"/>
      <c r="S13" s="29"/>
      <c r="T13" s="29"/>
      <c r="U13" s="29"/>
    </row>
    <row r="14" customFormat="false" ht="15" hidden="false" customHeight="false" outlineLevel="0" collapsed="false">
      <c r="A14" s="6" t="s">
        <v>126</v>
      </c>
      <c r="B14" s="30" t="n">
        <f aca="false">(((('Income Statement'!B12*(1-Drivers!B22))+'Income Statement'!B11)-Schedules!B7)-Schedules!B12)</f>
        <v>-168.5577625</v>
      </c>
      <c r="C14" s="30" t="n">
        <f aca="false">(((('Income Statement'!C12*(1-Drivers!C22))+'Income Statement'!C11)-Schedules!C7)-Schedules!C12)</f>
        <v>-5.16810105004753</v>
      </c>
      <c r="D14" s="30" t="n">
        <f aca="false">(((('Income Statement'!D12*(1-Drivers!D22))+'Income Statement'!D11)-Schedules!D7)-Schedules!D12)</f>
        <v>-86.1315789161276</v>
      </c>
      <c r="E14" s="30" t="n">
        <f aca="false">(((('Income Statement'!E12*(1-Drivers!E22))+'Income Statement'!E11)-Schedules!E7)-Schedules!E12)</f>
        <v>238.183504454816</v>
      </c>
      <c r="F14" s="30" t="n">
        <f aca="false">(((('Income Statement'!F12*(1-Drivers!F22))+'Income Statement'!F11)-Schedules!F7)-Schedules!F12)</f>
        <v>-2614.2789644566</v>
      </c>
      <c r="G14" s="30" t="n">
        <f aca="false">(((('Income Statement'!G12*(1-Drivers!G22))+'Income Statement'!G11)-Schedules!G7)-Schedules!G12)</f>
        <v>-1744.88850566445</v>
      </c>
      <c r="H14" s="30" t="n">
        <f aca="false">(((('Income Statement'!H12*(1-Drivers!H22))+'Income Statement'!H11)-Schedules!H7)-Schedules!H12)</f>
        <v>352.920416794972</v>
      </c>
      <c r="I14" s="30" t="n">
        <f aca="false">(((('Income Statement'!I12*(1-Drivers!I22))+'Income Statement'!I11)-Schedules!I7)-Schedules!I12)</f>
        <v>2884.30740846405</v>
      </c>
      <c r="J14" s="30" t="n">
        <f aca="false">(((('Income Statement'!J12*(1-Drivers!J22))+'Income Statement'!J11)-Schedules!J7)-Schedules!J12)</f>
        <v>-349.242525446609</v>
      </c>
      <c r="K14" s="30" t="n">
        <f aca="false">(((('Income Statement'!K12*(1-Drivers!K22))+'Income Statement'!K11)-Schedules!K7)-Schedules!K12)</f>
        <v>-91.4874924881942</v>
      </c>
      <c r="L14" s="31" t="n">
        <f aca="false">(((('Income Statement'!L12*(1-Drivers!L22))+'Income Statement'!L11)-Schedules!L7)-Schedules!L12)</f>
        <v>1373.59063687454</v>
      </c>
      <c r="M14" s="31" t="n">
        <f aca="false">(((('Income Statement'!M12*(1-Drivers!M22))+'Income Statement'!M11)-Schedules!M7)-Schedules!M12)</f>
        <v>1276.52825761783</v>
      </c>
      <c r="N14" s="31" t="n">
        <f aca="false">(((('Income Statement'!N12*(1-Drivers!N22))+'Income Statement'!N11)-Schedules!N7)-Schedules!N12)</f>
        <v>1763.83068056035</v>
      </c>
      <c r="O14" s="31" t="n">
        <f aca="false">(((('Income Statement'!O12*(1-Drivers!O22))+'Income Statement'!O11)-Schedules!O7)-Schedules!O12)</f>
        <v>2334.75797323806</v>
      </c>
      <c r="P14" s="31" t="n">
        <f aca="false">(((('Income Statement'!P12*(1-Drivers!P22))+'Income Statement'!P11)-Schedules!P7)-Schedules!P12)</f>
        <v>2951.2969185811</v>
      </c>
      <c r="Q14" s="31" t="n">
        <f aca="false">(((('Income Statement'!Q12*(1-Drivers!Q22))+'Income Statement'!Q11)-Schedules!Q7)-Schedules!Q12)</f>
        <v>3656.34215917069</v>
      </c>
      <c r="R14" s="31" t="n">
        <f aca="false">(((('Income Statement'!R12*(1-Drivers!R22))+'Income Statement'!R11)-Schedules!R7)-Schedules!R12)</f>
        <v>4332.15437113611</v>
      </c>
      <c r="S14" s="31" t="n">
        <f aca="false">(((('Income Statement'!S12*(1-Drivers!S22))+'Income Statement'!S11)-Schedules!S7)-Schedules!S12)</f>
        <v>5076.01581841527</v>
      </c>
      <c r="T14" s="31" t="n">
        <f aca="false">(((('Income Statement'!T12*(1-Drivers!T22))+'Income Statement'!T11)-Schedules!T7)-Schedules!T12)</f>
        <v>5807.67465543381</v>
      </c>
      <c r="U14" s="31" t="n">
        <f aca="false">(((('Income Statement'!U12*(1-Drivers!U22))+'Income Statement'!U11)-Schedules!U7)-Schedules!U12)</f>
        <v>6609.17201065057</v>
      </c>
    </row>
    <row r="15" customFormat="false" ht="15" hidden="false" customHeight="false" outlineLevel="0" collapsed="false">
      <c r="A15" s="8" t="s">
        <v>127</v>
      </c>
      <c r="B15" s="9" t="n">
        <f aca="false">(((('Income Statement'!B18+'Income Statement'!B11)-Schedules!B7)-Schedules!B12)+('Balance Sheet'!B19-0))</f>
        <v>246.89</v>
      </c>
      <c r="C15" s="9" t="n">
        <f aca="false">(((('Income Statement'!C18+'Income Statement'!C11)-Schedules!C7)-Schedules!C12)+('Balance Sheet'!C19-'Balance Sheet'!B19))</f>
        <v>-15.1499999999998</v>
      </c>
      <c r="D15" s="9" t="n">
        <f aca="false">(((('Income Statement'!D18+'Income Statement'!D11)-Schedules!D7)-Schedules!D12)+('Balance Sheet'!D19-'Balance Sheet'!C19))</f>
        <v>4.77999999999992</v>
      </c>
      <c r="E15" s="9" t="n">
        <f aca="false">(((('Income Statement'!E18+'Income Statement'!E11)-Schedules!E7)-Schedules!E12)+('Balance Sheet'!E19-'Balance Sheet'!D19))</f>
        <v>-43.1399999999998</v>
      </c>
      <c r="F15" s="9" t="n">
        <f aca="false">(((('Income Statement'!F18+'Income Statement'!F11)-Schedules!F7)-Schedules!F12)+('Balance Sheet'!F19-'Balance Sheet'!E19))</f>
        <v>5.80000000000018</v>
      </c>
      <c r="G15" s="9" t="n">
        <f aca="false">(((('Income Statement'!G18+'Income Statement'!G11)-Schedules!G7)-Schedules!G12)+('Balance Sheet'!G19-'Balance Sheet'!F19))</f>
        <v>-147.47</v>
      </c>
      <c r="H15" s="9" t="n">
        <f aca="false">(((('Income Statement'!H18+'Income Statement'!H11)-Schedules!H7)-Schedules!H12)+('Balance Sheet'!H19-'Balance Sheet'!G19))</f>
        <v>36.6200000000007</v>
      </c>
      <c r="I15" s="9" t="n">
        <f aca="false">(((('Income Statement'!I18+'Income Statement'!I11)-Schedules!I7)-Schedules!I12)+('Balance Sheet'!I19-'Balance Sheet'!H19))</f>
        <v>654.029999999999</v>
      </c>
      <c r="J15" s="9" t="n">
        <f aca="false">(((('Income Statement'!J18+'Income Statement'!J11)-Schedules!J7)-Schedules!J12)+('Balance Sheet'!J19-'Balance Sheet'!I19))</f>
        <v>214.939999999999</v>
      </c>
      <c r="K15" s="9" t="n">
        <f aca="false">(((('Income Statement'!K18+'Income Statement'!K11)-Schedules!K7)-Schedules!K12)+('Balance Sheet'!K19-'Balance Sheet'!J19))</f>
        <v>119.020000000002</v>
      </c>
      <c r="L15" s="34" t="n">
        <f aca="false">(((('Income Statement'!L18+'Income Statement'!L11)-Schedules!L7)-Schedules!L12)+('Balance Sheet'!L19-'Balance Sheet'!K19))</f>
        <v>577.677538726827</v>
      </c>
      <c r="M15" s="34" t="n">
        <f aca="false">(((('Income Statement'!M18+'Income Statement'!M11)-Schedules!M7)-Schedules!M12)+('Balance Sheet'!M19-'Balance Sheet'!L19))</f>
        <v>271.236975171141</v>
      </c>
      <c r="N15" s="34" t="n">
        <f aca="false">(((('Income Statement'!N18+'Income Statement'!N11)-Schedules!N7)-Schedules!N12)+('Balance Sheet'!N19-'Balance Sheet'!M19))</f>
        <v>1041.10618917853</v>
      </c>
      <c r="O15" s="34" t="n">
        <f aca="false">(((('Income Statement'!O18+'Income Statement'!O11)-Schedules!O7)-Schedules!O12)+('Balance Sheet'!O19-'Balance Sheet'!N19))</f>
        <v>2537.74762140989</v>
      </c>
      <c r="P15" s="34" t="n">
        <f aca="false">(((('Income Statement'!P18+'Income Statement'!P11)-Schedules!P7)-Schedules!P12)+('Balance Sheet'!P19-'Balance Sheet'!O19))</f>
        <v>3289.77835349015</v>
      </c>
      <c r="Q15" s="34" t="n">
        <f aca="false">(((('Income Statement'!Q18+'Income Statement'!Q11)-Schedules!Q7)-Schedules!Q12)+('Balance Sheet'!Q19-'Balance Sheet'!P19))</f>
        <v>4167.88296356228</v>
      </c>
      <c r="R15" s="34" t="n">
        <f aca="false">(((('Income Statement'!R18+'Income Statement'!R11)-Schedules!R7)-Schedules!R12)+('Balance Sheet'!R19-'Balance Sheet'!Q19))</f>
        <v>5057.55163421804</v>
      </c>
      <c r="S15" s="34" t="n">
        <f aca="false">(((('Income Statement'!S18+'Income Statement'!S11)-Schedules!S7)-Schedules!S12)+('Balance Sheet'!S19-'Balance Sheet'!R19))</f>
        <v>6058.36443015264</v>
      </c>
      <c r="T15" s="34" t="n">
        <f aca="false">(((('Income Statement'!T18+'Income Statement'!T11)-Schedules!T7)-Schedules!T12)+('Balance Sheet'!T19-'Balance Sheet'!S19))</f>
        <v>7093.97508146315</v>
      </c>
      <c r="U15" s="34" t="n">
        <f aca="false">(((('Income Statement'!U18+'Income Statement'!U11)-Schedules!U7)-Schedules!U12)+('Balance Sheet'!U19-'Balance Sheet'!T19))</f>
        <v>8249.87771562518</v>
      </c>
    </row>
    <row r="16" customFormat="false" ht="15" hidden="false" customHeight="false" outlineLevel="0" collapsed="false">
      <c r="A16" s="32" t="s">
        <v>128</v>
      </c>
      <c r="B16" s="19" t="n">
        <f aca="false">IFERROR((B14)/('Income Statement'!B10),0)</f>
        <v>-1.26232129484011</v>
      </c>
      <c r="C16" s="19" t="n">
        <f aca="false">IFERROR((C14)/('Income Statement'!C10),0)</f>
        <v>-0.0247870553959114</v>
      </c>
      <c r="D16" s="19" t="n">
        <f aca="false">IFERROR((D14)/('Income Statement'!D10),0)</f>
        <v>-0.35792710653311</v>
      </c>
      <c r="E16" s="19" t="n">
        <f aca="false">IFERROR((E14)/('Income Statement'!E10),0)</f>
        <v>0.450277906979253</v>
      </c>
      <c r="F16" s="19" t="n">
        <f aca="false">IFERROR((F14)/('Income Statement'!F10),0)</f>
        <v>-22.9584523092702</v>
      </c>
      <c r="G16" s="19" t="n">
        <f aca="false">IFERROR((G14)/('Income Statement'!G10),0)</f>
        <v>-2.93396641388292</v>
      </c>
      <c r="H16" s="19" t="n">
        <f aca="false">IFERROR((H14)/('Income Statement'!H10),0)</f>
        <v>0.316762030960797</v>
      </c>
      <c r="I16" s="19" t="n">
        <f aca="false">IFERROR((I14)/('Income Statement'!I10),0)</f>
        <v>1.4636028033146</v>
      </c>
      <c r="J16" s="19" t="n">
        <f aca="false">IFERROR((J14)/('Income Statement'!J10),0)</f>
        <v>-0.123846623869349</v>
      </c>
      <c r="K16" s="19" t="n">
        <f aca="false">IFERROR((K14)/('Income Statement'!K10),0)</f>
        <v>-0.0244269540865858</v>
      </c>
      <c r="L16" s="33" t="n">
        <f aca="false">IFERROR((L14)/('Income Statement'!L10),0)</f>
        <v>0.292466002932232</v>
      </c>
      <c r="M16" s="33" t="n">
        <f aca="false">IFERROR((M14)/('Income Statement'!M10),0)</f>
        <v>0.230819377174298</v>
      </c>
      <c r="N16" s="33" t="n">
        <f aca="false">IFERROR((N14)/('Income Statement'!N10),0)</f>
        <v>0.27303972387779</v>
      </c>
      <c r="O16" s="33" t="n">
        <f aca="false">IFERROR((O14)/('Income Statement'!O10),0)</f>
        <v>0.315566977358268</v>
      </c>
      <c r="P16" s="33" t="n">
        <f aca="false">IFERROR((P14)/('Income Statement'!P10),0)</f>
        <v>0.351205026383539</v>
      </c>
      <c r="Q16" s="33" t="n">
        <f aca="false">IFERROR((Q14)/('Income Statement'!Q10),0)</f>
        <v>0.387380320142532</v>
      </c>
      <c r="R16" s="33" t="n">
        <f aca="false">IFERROR((R14)/('Income Statement'!R10),0)</f>
        <v>0.411900687585433</v>
      </c>
      <c r="S16" s="33" t="n">
        <f aca="false">IFERROR((S14)/('Income Statement'!S10),0)</f>
        <v>0.437677463997504</v>
      </c>
      <c r="T16" s="33" t="n">
        <f aca="false">IFERROR((T14)/('Income Statement'!T10),0)</f>
        <v>0.456028102127811</v>
      </c>
      <c r="U16" s="33" t="n">
        <f aca="false">IFERROR((U14)/('Income Statement'!U10),0)</f>
        <v>0.473895519944481</v>
      </c>
    </row>
    <row r="17" customFormat="false" ht="15" hidden="false" customHeight="false" outlineLevel="0" collapsed="false">
      <c r="A17" s="28" t="s">
        <v>129</v>
      </c>
      <c r="B17" s="29"/>
      <c r="C17" s="29"/>
      <c r="D17" s="29"/>
      <c r="E17" s="29"/>
      <c r="F17" s="29"/>
      <c r="G17" s="29"/>
      <c r="H17" s="29"/>
      <c r="I17" s="29"/>
      <c r="J17" s="29"/>
      <c r="K17" s="29"/>
      <c r="L17" s="29"/>
      <c r="M17" s="29"/>
      <c r="N17" s="29"/>
      <c r="O17" s="29"/>
      <c r="P17" s="29"/>
      <c r="Q17" s="29"/>
      <c r="R17" s="29"/>
      <c r="S17" s="29"/>
      <c r="T17" s="29"/>
      <c r="U17" s="29"/>
    </row>
    <row r="18" customFormat="false" ht="15" hidden="false" customHeight="false" outlineLevel="0" collapsed="false">
      <c r="A18" s="8" t="s">
        <v>130</v>
      </c>
      <c r="B18" s="9" t="n">
        <f aca="false">(('Balance Sheet'!B19-'Balance Sheet'!B6)-'Balance Sheet'!B12)</f>
        <v>-722.5</v>
      </c>
      <c r="C18" s="9" t="n">
        <f aca="false">(('Balance Sheet'!C19-'Balance Sheet'!C6)-'Balance Sheet'!C12)</f>
        <v>-664.26</v>
      </c>
      <c r="D18" s="9" t="n">
        <f aca="false">(('Balance Sheet'!D19-'Balance Sheet'!D6)-'Balance Sheet'!D12)</f>
        <v>-442.92</v>
      </c>
      <c r="E18" s="9" t="n">
        <f aca="false">(('Balance Sheet'!E19-'Balance Sheet'!E6)-'Balance Sheet'!E12)</f>
        <v>-1276.45</v>
      </c>
      <c r="F18" s="9" t="n">
        <f aca="false">(('Balance Sheet'!F19-'Balance Sheet'!F6)-'Balance Sheet'!F12)</f>
        <v>1394.87</v>
      </c>
      <c r="G18" s="9" t="n">
        <f aca="false">(('Balance Sheet'!G19-'Balance Sheet'!G6)-'Balance Sheet'!G12)</f>
        <v>3355.67</v>
      </c>
      <c r="H18" s="9" t="n">
        <f aca="false">(('Balance Sheet'!H19-'Balance Sheet'!H6)-'Balance Sheet'!H12)</f>
        <v>3267.97</v>
      </c>
      <c r="I18" s="9" t="n">
        <f aca="false">(('Balance Sheet'!I19-'Balance Sheet'!I6)-'Balance Sheet'!I12)</f>
        <v>39.4000000000001</v>
      </c>
      <c r="J18" s="9" t="n">
        <f aca="false">(('Balance Sheet'!J19-'Balance Sheet'!J6)-'Balance Sheet'!J12)</f>
        <v>417.1</v>
      </c>
      <c r="K18" s="9" t="n">
        <f aca="false">(('Balance Sheet'!K19-'Balance Sheet'!K6)-'Balance Sheet'!K12)</f>
        <v>893.34</v>
      </c>
      <c r="L18" s="34" t="n">
        <f aca="false">(('Balance Sheet'!L19-'Balance Sheet'!L6)-'Balance Sheet'!L12)</f>
        <v>-154.444677966371</v>
      </c>
      <c r="M18" s="34" t="n">
        <f aca="false">(('Balance Sheet'!M19-'Balance Sheet'!M6)-'Balance Sheet'!M12)</f>
        <v>-1167.53432843015</v>
      </c>
      <c r="N18" s="34" t="n">
        <f aca="false">(('Balance Sheet'!N19-'Balance Sheet'!N6)-'Balance Sheet'!N12)</f>
        <v>-2704.28903676858</v>
      </c>
      <c r="O18" s="34" t="n">
        <f aca="false">(('Balance Sheet'!O19-'Balance Sheet'!O6)-'Balance Sheet'!O12)</f>
        <v>-4868.99083404735</v>
      </c>
      <c r="P18" s="34" t="n">
        <f aca="false">(('Balance Sheet'!P19-'Balance Sheet'!P6)-'Balance Sheet'!P12)</f>
        <v>-7726.06417125325</v>
      </c>
      <c r="Q18" s="34" t="n">
        <f aca="false">(('Balance Sheet'!Q19-'Balance Sheet'!Q6)-'Balance Sheet'!Q12)</f>
        <v>-11397.6159284714</v>
      </c>
      <c r="R18" s="34" t="n">
        <f aca="false">(('Balance Sheet'!R19-'Balance Sheet'!R6)-'Balance Sheet'!R12)</f>
        <v>-15886.2959979948</v>
      </c>
      <c r="S18" s="34" t="n">
        <f aca="false">(('Balance Sheet'!S19-'Balance Sheet'!S6)-'Balance Sheet'!S12)</f>
        <v>-21301.9763165636</v>
      </c>
      <c r="T18" s="34" t="n">
        <f aca="false">(('Balance Sheet'!T19-'Balance Sheet'!T6)-'Balance Sheet'!T12)</f>
        <v>-27666.933031613</v>
      </c>
      <c r="U18" s="34" t="n">
        <f aca="false">(('Balance Sheet'!U19-'Balance Sheet'!U6)-'Balance Sheet'!U12)</f>
        <v>-35091.3845487931</v>
      </c>
    </row>
    <row r="19" customFormat="false" ht="15" hidden="false" customHeight="false" outlineLevel="0" collapsed="false">
      <c r="A19" s="32" t="s">
        <v>131</v>
      </c>
      <c r="B19" s="37" t="n">
        <f aca="false">IFERROR((B18)/('Income Statement'!B10),0)</f>
        <v>-5.41076911555456</v>
      </c>
      <c r="C19" s="37" t="n">
        <f aca="false">IFERROR((C18)/('Income Statement'!C10),0)</f>
        <v>-3.18589928057554</v>
      </c>
      <c r="D19" s="37" t="n">
        <f aca="false">IFERROR((D18)/('Income Statement'!D10),0)</f>
        <v>-1.84059175531915</v>
      </c>
      <c r="E19" s="37" t="n">
        <f aca="false">IFERROR((E18)/('Income Statement'!E10),0)</f>
        <v>-2.4130858082689</v>
      </c>
      <c r="F19" s="37" t="n">
        <f aca="false">IFERROR((F18)/('Income Statement'!F10),0)</f>
        <v>12.2496706770879</v>
      </c>
      <c r="G19" s="37" t="n">
        <f aca="false">IFERROR((G18)/('Income Statement'!G10),0)</f>
        <v>5.64243677697067</v>
      </c>
      <c r="H19" s="37" t="n">
        <f aca="false">IFERROR((H18)/('Income Statement'!H10),0)</f>
        <v>2.93315083247319</v>
      </c>
      <c r="I19" s="37" t="n">
        <f aca="false">IFERROR((I18)/('Income Statement'!I10),0)</f>
        <v>0.0199929973765534</v>
      </c>
      <c r="J19" s="37" t="n">
        <f aca="false">IFERROR((J18)/('Income Statement'!J10),0)</f>
        <v>0.147909899431198</v>
      </c>
      <c r="K19" s="37" t="n">
        <f aca="false">IFERROR((K18)/('Income Statement'!K10),0)</f>
        <v>0.23851976450799</v>
      </c>
      <c r="L19" s="38" t="n">
        <f aca="false">IFERROR((L18)/('Income Statement'!L10),0)</f>
        <v>-0.0328844827755666</v>
      </c>
      <c r="M19" s="38" t="n">
        <f aca="false">IFERROR((M18)/('Income Statement'!M10),0)</f>
        <v>-0.211111305143188</v>
      </c>
      <c r="N19" s="38" t="n">
        <f aca="false">IFERROR((N18)/('Income Statement'!N10),0)</f>
        <v>-0.418622002680241</v>
      </c>
      <c r="O19" s="38" t="n">
        <f aca="false">IFERROR((O18)/('Income Statement'!O10),0)</f>
        <v>-0.65809507362105</v>
      </c>
      <c r="P19" s="38" t="n">
        <f aca="false">IFERROR((P18)/('Income Statement'!P10),0)</f>
        <v>-0.919403450741397</v>
      </c>
      <c r="Q19" s="38" t="n">
        <f aca="false">IFERROR((Q18)/('Income Statement'!Q10),0)</f>
        <v>-1.20754894236548</v>
      </c>
      <c r="R19" s="38" t="n">
        <f aca="false">IFERROR((R18)/('Income Statement'!R10),0)</f>
        <v>-1.51046700652168</v>
      </c>
      <c r="S19" s="38" t="n">
        <f aca="false">IFERROR((S18)/('Income Statement'!S10),0)</f>
        <v>-1.83675451493751</v>
      </c>
      <c r="T19" s="38" t="n">
        <f aca="false">IFERROR((T18)/('Income Statement'!T10),0)</f>
        <v>-2.17245278199237</v>
      </c>
      <c r="U19" s="38" t="n">
        <f aca="false">IFERROR((U18)/('Income Statement'!U10),0)</f>
        <v>-2.51614724197276</v>
      </c>
    </row>
    <row r="20" customFormat="false" ht="15" hidden="false" customHeight="false" outlineLevel="0" collapsed="false">
      <c r="A20" s="32" t="s">
        <v>132</v>
      </c>
      <c r="B20" s="37" t="n">
        <f aca="false">IFERROR(('Income Statement'!B12)/('Income Statement'!B14),0)</f>
        <v>2.02502744237102</v>
      </c>
      <c r="C20" s="37" t="n">
        <f aca="false">IFERROR(('Income Statement'!C12)/('Income Statement'!C14),0)</f>
        <v>3.72247601644587</v>
      </c>
      <c r="D20" s="37" t="n">
        <f aca="false">IFERROR(('Income Statement'!D12)/('Income Statement'!D14),0)</f>
        <v>3.73163507109005</v>
      </c>
      <c r="E20" s="37" t="n">
        <f aca="false">IFERROR(('Income Statement'!E12)/('Income Statement'!E14),0)</f>
        <v>1.0697118122793</v>
      </c>
      <c r="F20" s="37" t="n">
        <f aca="false">IFERROR(('Income Statement'!F12)/('Income Statement'!F14),0)</f>
        <v>-0.549982744737145</v>
      </c>
      <c r="G20" s="37" t="n">
        <f aca="false">IFERROR(('Income Statement'!G12)/('Income Statement'!G14),0)</f>
        <v>0.873968723063662</v>
      </c>
      <c r="H20" s="37" t="n">
        <f aca="false">IFERROR(('Income Statement'!H12)/('Income Statement'!H14),0)</f>
        <v>1.51705420670432</v>
      </c>
      <c r="I20" s="37" t="n">
        <f aca="false">IFERROR(('Income Statement'!I12)/('Income Statement'!I14),0)</f>
        <v>3.53473317739216</v>
      </c>
      <c r="J20" s="37" t="n">
        <f aca="false">IFERROR(('Income Statement'!J12)/('Income Statement'!J14),0)</f>
        <v>9.61909045477261</v>
      </c>
      <c r="K20" s="37" t="n">
        <f aca="false">IFERROR(('Income Statement'!K12)/('Income Statement'!K14),0)</f>
        <v>10.2443174494049</v>
      </c>
      <c r="L20" s="38" t="n">
        <f aca="false">IFERROR(('Income Statement'!L12)/('Income Statement'!L14),0)</f>
        <v>16.656191326079</v>
      </c>
      <c r="M20" s="38" t="n">
        <f aca="false">IFERROR(('Income Statement'!M12)/('Income Statement'!M14),0)</f>
        <v>31.8290072381011</v>
      </c>
      <c r="N20" s="38" t="n">
        <f aca="false">IFERROR(('Income Statement'!N12)/('Income Statement'!N14),0)</f>
        <v>120.327997026031</v>
      </c>
      <c r="O20" s="38" t="n">
        <f aca="false">IFERROR(('Income Statement'!O12)/('Income Statement'!O14),0)</f>
        <v>0</v>
      </c>
      <c r="P20" s="38" t="n">
        <f aca="false">IFERROR(('Income Statement'!P12)/('Income Statement'!P14),0)</f>
        <v>0</v>
      </c>
      <c r="Q20" s="38" t="n">
        <f aca="false">IFERROR(('Income Statement'!Q12)/('Income Statement'!Q14),0)</f>
        <v>0</v>
      </c>
      <c r="R20" s="38" t="n">
        <f aca="false">IFERROR(('Income Statement'!R12)/('Income Statement'!R14),0)</f>
        <v>0</v>
      </c>
      <c r="S20" s="38" t="n">
        <f aca="false">IFERROR(('Income Statement'!S12)/('Income Statement'!S14),0)</f>
        <v>0</v>
      </c>
      <c r="T20" s="38" t="n">
        <f aca="false">IFERROR(('Income Statement'!T12)/('Income Statement'!T14),0)</f>
        <v>0</v>
      </c>
      <c r="U20" s="38" t="n">
        <f aca="false">IFERROR(('Income Statement'!U12)/('Income Statement'!U14),0)</f>
        <v>0</v>
      </c>
    </row>
    <row r="21" customFormat="false" ht="15" hidden="false" customHeight="false" outlineLevel="0" collapsed="false">
      <c r="A21" s="8" t="s">
        <v>133</v>
      </c>
      <c r="B21" s="9" t="n">
        <f aca="false">((('Balance Sheet'!B15+'Balance Sheet'!B16)+'Balance Sheet'!B19)-'Balance Sheet'!B6)</f>
        <v>1905.15</v>
      </c>
      <c r="C21" s="9" t="n">
        <f aca="false">((('Balance Sheet'!C15+'Balance Sheet'!C16)+'Balance Sheet'!C19)-'Balance Sheet'!C6)</f>
        <v>1953.99</v>
      </c>
      <c r="D21" s="9" t="n">
        <f aca="false">((('Balance Sheet'!D15+'Balance Sheet'!D16)+'Balance Sheet'!D19)-'Balance Sheet'!D6)</f>
        <v>2086.42</v>
      </c>
      <c r="E21" s="9" t="n">
        <f aca="false">((('Balance Sheet'!E15+'Balance Sheet'!E16)+'Balance Sheet'!E19)-'Balance Sheet'!E6)</f>
        <v>2626.1</v>
      </c>
      <c r="F21" s="9" t="n">
        <f aca="false">((('Balance Sheet'!F15+'Balance Sheet'!F16)+'Balance Sheet'!F19)-'Balance Sheet'!F6)</f>
        <v>5195.19</v>
      </c>
      <c r="G21" s="9" t="n">
        <f aca="false">((('Balance Sheet'!G15+'Balance Sheet'!G16)+'Balance Sheet'!G19)-'Balance Sheet'!G6)</f>
        <v>7003.39</v>
      </c>
      <c r="H21" s="9" t="n">
        <f aca="false">((('Balance Sheet'!H15+'Balance Sheet'!H16)+'Balance Sheet'!H19)-'Balance Sheet'!H6)</f>
        <v>6973.33</v>
      </c>
      <c r="I21" s="9" t="n">
        <f aca="false">((('Balance Sheet'!I15+'Balance Sheet'!I16)+'Balance Sheet'!I19)-'Balance Sheet'!I6)</f>
        <v>5523.17</v>
      </c>
      <c r="J21" s="9" t="n">
        <f aca="false">((('Balance Sheet'!J15+'Balance Sheet'!J16)+'Balance Sheet'!J19)-'Balance Sheet'!J6)</f>
        <v>7359.09</v>
      </c>
      <c r="K21" s="9" t="n">
        <f aca="false">((('Balance Sheet'!K15+'Balance Sheet'!K16)+'Balance Sheet'!K19)-'Balance Sheet'!K6)</f>
        <v>9262.93</v>
      </c>
      <c r="L21" s="34" t="n">
        <f aca="false">((('Balance Sheet'!L15+'Balance Sheet'!L16)+'Balance Sheet'!L19)-'Balance Sheet'!L6)</f>
        <v>10328.9303078851</v>
      </c>
      <c r="M21" s="34" t="n">
        <f aca="false">((('Balance Sheet'!M15+'Balance Sheet'!M16)+'Balance Sheet'!M19)-'Balance Sheet'!M6)</f>
        <v>11827.4246658769</v>
      </c>
      <c r="N21" s="34" t="n">
        <f aca="false">((('Balance Sheet'!N15+'Balance Sheet'!N16)+'Balance Sheet'!N19)-'Balance Sheet'!N6)</f>
        <v>13300.4120622727</v>
      </c>
      <c r="O21" s="34" t="n">
        <f aca="false">((('Balance Sheet'!O15+'Balance Sheet'!O16)+'Balance Sheet'!O19)-'Balance Sheet'!O6)</f>
        <v>14684.3217523751</v>
      </c>
      <c r="P21" s="34" t="n">
        <f aca="false">((('Balance Sheet'!P15+'Balance Sheet'!P16)+'Balance Sheet'!P19)-'Balance Sheet'!P6)</f>
        <v>16009.7315928557</v>
      </c>
      <c r="Q21" s="34" t="n">
        <f aca="false">((('Balance Sheet'!Q15+'Balance Sheet'!Q16)+'Balance Sheet'!Q19)-'Balance Sheet'!Q6)</f>
        <v>17228.2249232077</v>
      </c>
      <c r="R21" s="34" t="n">
        <f aca="false">((('Balance Sheet'!R15+'Balance Sheet'!R16)+'Balance Sheet'!R19)-'Balance Sheet'!R6)</f>
        <v>18429.4091298789</v>
      </c>
      <c r="S21" s="34" t="n">
        <f aca="false">((('Balance Sheet'!S15+'Balance Sheet'!S16)+'Balance Sheet'!S19)-'Balance Sheet'!S6)</f>
        <v>19551.4039758576</v>
      </c>
      <c r="T21" s="34" t="n">
        <f aca="false">((('Balance Sheet'!T15+'Balance Sheet'!T16)+'Balance Sheet'!T19)-'Balance Sheet'!T6)</f>
        <v>20671.483240665</v>
      </c>
      <c r="U21" s="34" t="n">
        <f aca="false">((('Balance Sheet'!U15+'Balance Sheet'!U16)+'Balance Sheet'!U19)-'Balance Sheet'!U6)</f>
        <v>21782.776180017</v>
      </c>
    </row>
    <row r="22" customFormat="false" ht="15" hidden="false" customHeight="false" outlineLevel="0" collapsed="false">
      <c r="A22" s="32" t="s">
        <v>134</v>
      </c>
      <c r="B22" s="19" t="n">
        <f aca="false">IFERROR((('Income Statement'!B12*(1-Drivers!B22)))/(AVERAGE(0,B21)),0)</f>
        <v>0.0641967692832585</v>
      </c>
      <c r="C22" s="19" t="n">
        <f aca="false">IFERROR((('Income Statement'!C12*(1-Drivers!C22)))/(AVERAGE(B21,C21)),0)</f>
        <v>0.0500846815352396</v>
      </c>
      <c r="D22" s="19" t="n">
        <f aca="false">IFERROR((('Income Statement'!D12*(1-Drivers!D22)))/(AVERAGE(C21,D21)),0)</f>
        <v>0.0538353390293918</v>
      </c>
      <c r="E22" s="19" t="n">
        <f aca="false">IFERROR((('Income Statement'!E12*(1-Drivers!E22)))/(AVERAGE(D21,E21)),0)</f>
        <v>0.0890281651663295</v>
      </c>
      <c r="F22" s="19" t="n">
        <f aca="false">IFERROR((('Income Statement'!F12*(1-Drivers!F22)))/(AVERAGE(E21,F21)),0)</f>
        <v>-0.0261744455087578</v>
      </c>
      <c r="G22" s="19" t="n">
        <f aca="false">IFERROR((('Income Statement'!G12*(1-Drivers!G22)))/(AVERAGE(F21,G21)),0)</f>
        <v>0.0442906460154463</v>
      </c>
      <c r="H22" s="19" t="n">
        <f aca="false">IFERROR((('Income Statement'!H12*(1-Drivers!H22)))/(AVERAGE(G21,H21)),0)</f>
        <v>0.0715061068397981</v>
      </c>
      <c r="I22" s="19" t="n">
        <f aca="false">IFERROR((('Income Statement'!I12*(1-Drivers!I22)))/(AVERAGE(H21,I21)),0)</f>
        <v>0.160993463524035</v>
      </c>
      <c r="J22" s="19" t="n">
        <f aca="false">IFERROR((('Income Statement'!J12*(1-Drivers!J22)))/(AVERAGE(I21,J21)),0)</f>
        <v>0.227714310152627</v>
      </c>
      <c r="K22" s="19" t="n">
        <f aca="false">IFERROR((('Income Statement'!K12*(1-Drivers!K22)))/(AVERAGE(J21,K21)),0)</f>
        <v>0.220575177687406</v>
      </c>
      <c r="L22" s="33" t="n">
        <f aca="false">IFERROR((('Income Statement'!L12*(1-Drivers!L22)))/(AVERAGE(K21,L21)),0)</f>
        <v>0.241194124394205</v>
      </c>
      <c r="M22" s="33" t="n">
        <f aca="false">IFERROR((('Income Statement'!M12*(1-Drivers!M22)))/(AVERAGE(L21,M21)),0)</f>
        <v>0.245724917577229</v>
      </c>
      <c r="N22" s="33" t="n">
        <f aca="false">IFERROR((('Income Statement'!N12*(1-Drivers!N22)))/(AVERAGE(M21,N21)),0)</f>
        <v>0.252851661181513</v>
      </c>
      <c r="O22" s="33" t="n">
        <f aca="false">IFERROR((('Income Statement'!O12*(1-Drivers!O22)))/(AVERAGE(N21,O21)),0)</f>
        <v>0.261156441605519</v>
      </c>
      <c r="P22" s="33" t="n">
        <f aca="false">IFERROR((('Income Statement'!P12*(1-Drivers!P22)))/(AVERAGE(O21,P21)),0)</f>
        <v>0.274170106164567</v>
      </c>
      <c r="Q22" s="33" t="n">
        <f aca="false">IFERROR((('Income Statement'!Q12*(1-Drivers!Q22)))/(AVERAGE(P21,Q21)),0)</f>
        <v>0.289050597489025</v>
      </c>
      <c r="R22" s="33" t="n">
        <f aca="false">IFERROR((('Income Statement'!R12*(1-Drivers!R22)))/(AVERAGE(Q21,R21)),0)</f>
        <v>0.30620303139634</v>
      </c>
      <c r="S22" s="33" t="n">
        <f aca="false">IFERROR((('Income Statement'!S12*(1-Drivers!S22)))/(AVERAGE(R21,S21)),0)</f>
        <v>0.322469138737543</v>
      </c>
      <c r="T22" s="33" t="n">
        <f aca="false">IFERROR((('Income Statement'!T12*(1-Drivers!T22)))/(AVERAGE(S21,T21)),0)</f>
        <v>0.340582624556801</v>
      </c>
      <c r="U22" s="33" t="n">
        <f aca="false">IFERROR((('Income Statement'!U12*(1-Drivers!U22)))/(AVERAGE(T21,U21)),0)</f>
        <v>0.359788511408121</v>
      </c>
    </row>
    <row r="23" customFormat="false" ht="15" hidden="false" customHeight="false" outlineLevel="0" collapsed="false">
      <c r="A23" s="32" t="s">
        <v>135</v>
      </c>
      <c r="B23" s="19" t="n">
        <f aca="false">IFERROR(('Income Statement'!B18)/(AVERAGE(0,Schedules!B24)),0)</f>
        <v>0.109660203270681</v>
      </c>
      <c r="C23" s="19" t="n">
        <f aca="false">IFERROR(('Income Statement'!C18)/(AVERAGE(Schedules!B24,Schedules!C24)),0)</f>
        <v>0.0553409734462594</v>
      </c>
      <c r="D23" s="19" t="n">
        <f aca="false">IFERROR(('Income Statement'!D18)/(AVERAGE(Schedules!C24,Schedules!D24)),0)</f>
        <v>0.0598171431391662</v>
      </c>
      <c r="E23" s="19" t="n">
        <f aca="false">IFERROR(('Income Statement'!E18)/(AVERAGE(Schedules!D24,Schedules!E24)),0)</f>
        <v>0.0609030607692079</v>
      </c>
      <c r="F23" s="19" t="n">
        <f aca="false">IFERROR(('Income Statement'!F18)/(AVERAGE(Schedules!E24,Schedules!F24)),0)</f>
        <v>-0.0621894145677331</v>
      </c>
      <c r="G23" s="19" t="n">
        <f aca="false">IFERROR(('Income Statement'!G18)/(AVERAGE(Schedules!F24,Schedules!G24)),0)</f>
        <v>0.0452552153824115</v>
      </c>
      <c r="H23" s="19" t="n">
        <f aca="false">IFERROR(('Income Statement'!H18)/(AVERAGE(Schedules!G24,Schedules!H24)),0)</f>
        <v>0.179304726897322</v>
      </c>
      <c r="I23" s="19" t="n">
        <f aca="false">IFERROR(('Income Statement'!I18)/(AVERAGE(Schedules!H24,Schedules!I24)),0)</f>
        <v>0.446270052211915</v>
      </c>
      <c r="J23" s="19" t="n">
        <f aca="false">IFERROR(('Income Statement'!J18)/(AVERAGE(Schedules!I24,Schedules!J24)),0)</f>
        <v>0.32461792248895</v>
      </c>
      <c r="K23" s="19" t="n">
        <f aca="false">IFERROR(('Income Statement'!K18)/(AVERAGE(Schedules!J24,Schedules!K24)),0)</f>
        <v>0.276328454286454</v>
      </c>
      <c r="L23" s="33" t="n">
        <f aca="false">IFERROR(('Income Statement'!L18)/(AVERAGE(Schedules!K24,Schedules!L24)),0)</f>
        <v>0.285714314948567</v>
      </c>
      <c r="M23" s="33" t="n">
        <f aca="false">IFERROR(('Income Statement'!M18)/(AVERAGE(Schedules!L24,Schedules!M24)),0)</f>
        <v>0.263657993084593</v>
      </c>
      <c r="N23" s="33" t="n">
        <f aca="false">IFERROR(('Income Statement'!N18)/(AVERAGE(Schedules!M24,Schedules!N24)),0)</f>
        <v>0.249445577849587</v>
      </c>
      <c r="O23" s="33" t="n">
        <f aca="false">IFERROR(('Income Statement'!O18)/(AVERAGE(Schedules!N24,Schedules!O24)),0)</f>
        <v>0.235278980985</v>
      </c>
      <c r="P23" s="33" t="n">
        <f aca="false">IFERROR(('Income Statement'!P18)/(AVERAGE(Schedules!O24,Schedules!P24)),0)</f>
        <v>0.2243957163177</v>
      </c>
      <c r="Q23" s="33" t="n">
        <f aca="false">IFERROR(('Income Statement'!Q18)/(AVERAGE(Schedules!P24,Schedules!Q24)),0)</f>
        <v>0.214360624887478</v>
      </c>
      <c r="R23" s="33" t="n">
        <f aca="false">IFERROR(('Income Statement'!R18)/(AVERAGE(Schedules!Q24,Schedules!R24)),0)</f>
        <v>0.205566151947238</v>
      </c>
      <c r="S23" s="33" t="n">
        <f aca="false">IFERROR(('Income Statement'!S18)/(AVERAGE(Schedules!R24,Schedules!S24)),0)</f>
        <v>0.196304993313498</v>
      </c>
      <c r="T23" s="33" t="n">
        <f aca="false">IFERROR(('Income Statement'!T18)/(AVERAGE(Schedules!S24,Schedules!T24)),0)</f>
        <v>0.188283327856224</v>
      </c>
      <c r="U23" s="33" t="n">
        <f aca="false">IFERROR(('Income Statement'!U18)/(AVERAGE(Schedules!T24,Schedules!U24)),0)</f>
        <v>0.181134974819679</v>
      </c>
    </row>
  </sheetData>
  <sheetProtection sheet="true" formatColumns="false" formatRows="false"/>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11" min="2" style="0" width="11"/>
  </cols>
  <sheetData>
    <row r="1" customFormat="false" ht="17.35" hidden="false" customHeight="false" outlineLevel="0" collapsed="false">
      <c r="A1" s="1" t="s">
        <v>136</v>
      </c>
    </row>
    <row r="2" customFormat="false" ht="15" hidden="false" customHeight="false" outlineLevel="0" collapsed="false">
      <c r="A2" s="2" t="s">
        <v>137</v>
      </c>
    </row>
    <row r="4" customFormat="false" ht="15" hidden="false" customHeight="false" outlineLevel="0" collapsed="false">
      <c r="A4" s="6" t="s">
        <v>138</v>
      </c>
      <c r="B4" s="39" t="n">
        <v>1</v>
      </c>
    </row>
    <row r="5" customFormat="false" ht="15" hidden="false" customHeight="false" outlineLevel="0" collapsed="false">
      <c r="A5" s="8" t="s">
        <v>139</v>
      </c>
      <c r="B5" s="40" t="str">
        <f aca="false">CHOOSE($B$4,"Base","Bull","Bear")</f>
        <v>Base</v>
      </c>
    </row>
    <row r="7" customFormat="false" ht="15" hidden="false" customHeight="false" outlineLevel="0" collapsed="false">
      <c r="A7" s="3" t="s">
        <v>140</v>
      </c>
      <c r="B7" s="4" t="s">
        <v>6</v>
      </c>
      <c r="C7" s="4" t="s">
        <v>7</v>
      </c>
      <c r="D7" s="4" t="s">
        <v>69</v>
      </c>
      <c r="E7" s="4" t="s">
        <v>115</v>
      </c>
      <c r="F7" s="4" t="s">
        <v>116</v>
      </c>
      <c r="G7" s="4" t="s">
        <v>117</v>
      </c>
      <c r="H7" s="4" t="s">
        <v>118</v>
      </c>
      <c r="I7" s="4" t="s">
        <v>119</v>
      </c>
      <c r="J7" s="4" t="s">
        <v>55</v>
      </c>
      <c r="K7" s="4" t="s">
        <v>57</v>
      </c>
    </row>
    <row r="8" customFormat="false" ht="15" hidden="false" customHeight="false" outlineLevel="0" collapsed="false">
      <c r="A8" s="41" t="s">
        <v>141</v>
      </c>
    </row>
    <row r="9" customFormat="false" ht="15" hidden="false" customHeight="false" outlineLevel="0" collapsed="false">
      <c r="A9" s="8" t="s">
        <v>121</v>
      </c>
      <c r="B9" s="42" t="n">
        <v>0.1998</v>
      </c>
      <c r="C9" s="42" t="n">
        <v>0.1597</v>
      </c>
      <c r="D9" s="42" t="n">
        <v>0.1564</v>
      </c>
      <c r="E9" s="42" t="n">
        <v>0.1453</v>
      </c>
      <c r="F9" s="42" t="n">
        <v>0.1358</v>
      </c>
      <c r="G9" s="42" t="n">
        <v>0.1232</v>
      </c>
      <c r="H9" s="42" t="n">
        <v>0.1143</v>
      </c>
      <c r="I9" s="42" t="n">
        <v>0.1027</v>
      </c>
      <c r="J9" s="42" t="n">
        <v>0.0981</v>
      </c>
      <c r="K9" s="42" t="n">
        <v>0.0951</v>
      </c>
    </row>
    <row r="10" customFormat="false" ht="15" hidden="false" customHeight="false" outlineLevel="0" collapsed="false">
      <c r="A10" s="8" t="s">
        <v>122</v>
      </c>
      <c r="B10" s="42" t="n">
        <v>0.195</v>
      </c>
      <c r="C10" s="42" t="n">
        <v>0.198</v>
      </c>
      <c r="D10" s="42" t="n">
        <v>0.2</v>
      </c>
      <c r="E10" s="42" t="n">
        <v>0.2</v>
      </c>
      <c r="F10" s="42" t="n">
        <v>0.2</v>
      </c>
      <c r="G10" s="42" t="n">
        <v>0.2</v>
      </c>
      <c r="H10" s="42" t="n">
        <v>0.2</v>
      </c>
      <c r="I10" s="42" t="n">
        <v>0.2</v>
      </c>
      <c r="J10" s="42" t="n">
        <v>0.2</v>
      </c>
      <c r="K10" s="42" t="n">
        <v>0.2</v>
      </c>
    </row>
    <row r="11" customFormat="false" ht="15" hidden="false" customHeight="false" outlineLevel="0" collapsed="false">
      <c r="A11" s="8" t="s">
        <v>142</v>
      </c>
      <c r="B11" s="42" t="n">
        <v>0.118</v>
      </c>
      <c r="C11" s="42" t="n">
        <v>0.111</v>
      </c>
      <c r="D11" s="42" t="n">
        <v>0.104</v>
      </c>
      <c r="E11" s="42" t="n">
        <v>0.096</v>
      </c>
      <c r="F11" s="42" t="n">
        <v>0.089</v>
      </c>
      <c r="G11" s="42" t="n">
        <v>0.082</v>
      </c>
      <c r="H11" s="42" t="n">
        <v>0.077</v>
      </c>
      <c r="I11" s="42" t="n">
        <v>0.072</v>
      </c>
      <c r="J11" s="42" t="n">
        <v>0.068</v>
      </c>
      <c r="K11" s="42" t="n">
        <v>0.064</v>
      </c>
    </row>
    <row r="12" customFormat="false" ht="15" hidden="false" customHeight="false" outlineLevel="0" collapsed="false">
      <c r="A12" s="8" t="s">
        <v>23</v>
      </c>
      <c r="B12" s="42" t="n">
        <v>0.06</v>
      </c>
    </row>
    <row r="14" customFormat="false" ht="15" hidden="false" customHeight="false" outlineLevel="0" collapsed="false">
      <c r="A14" s="41" t="s">
        <v>143</v>
      </c>
    </row>
    <row r="15" customFormat="false" ht="15" hidden="false" customHeight="false" outlineLevel="0" collapsed="false">
      <c r="A15" s="8" t="s">
        <v>121</v>
      </c>
      <c r="B15" s="42" t="n">
        <v>0.2285</v>
      </c>
      <c r="C15" s="42" t="n">
        <v>0.1973</v>
      </c>
      <c r="D15" s="42" t="n">
        <v>0.197</v>
      </c>
      <c r="E15" s="42" t="n">
        <v>0.1858</v>
      </c>
      <c r="F15" s="42" t="n">
        <v>0.1674</v>
      </c>
      <c r="G15" s="42" t="n">
        <v>0.1509</v>
      </c>
      <c r="H15" s="42" t="n">
        <v>0.1385</v>
      </c>
      <c r="I15" s="42" t="n">
        <v>0.1226</v>
      </c>
      <c r="J15" s="42" t="n">
        <v>0.1106</v>
      </c>
      <c r="K15" s="42" t="n">
        <v>0.1072</v>
      </c>
    </row>
    <row r="16" customFormat="false" ht="15" hidden="false" customHeight="false" outlineLevel="0" collapsed="false">
      <c r="A16" s="8" t="s">
        <v>122</v>
      </c>
      <c r="B16" s="42" t="n">
        <v>0.2</v>
      </c>
      <c r="C16" s="42" t="n">
        <v>0.205</v>
      </c>
      <c r="D16" s="42" t="n">
        <v>0.21</v>
      </c>
      <c r="E16" s="42" t="n">
        <v>0.21</v>
      </c>
      <c r="F16" s="42" t="n">
        <v>0.21</v>
      </c>
      <c r="G16" s="42" t="n">
        <v>0.21</v>
      </c>
      <c r="H16" s="42" t="n">
        <v>0.21</v>
      </c>
      <c r="I16" s="42" t="n">
        <v>0.21</v>
      </c>
      <c r="J16" s="42" t="n">
        <v>0.21</v>
      </c>
      <c r="K16" s="42" t="n">
        <v>0.21</v>
      </c>
    </row>
    <row r="17" customFormat="false" ht="15" hidden="false" customHeight="false" outlineLevel="0" collapsed="false">
      <c r="A17" s="8" t="s">
        <v>142</v>
      </c>
      <c r="B17" s="42" t="n">
        <v>0.12</v>
      </c>
      <c r="C17" s="42" t="n">
        <v>0.117</v>
      </c>
      <c r="D17" s="42" t="n">
        <v>0.11</v>
      </c>
      <c r="E17" s="42" t="n">
        <v>0.101</v>
      </c>
      <c r="F17" s="42" t="n">
        <v>0.092</v>
      </c>
      <c r="G17" s="42" t="n">
        <v>0.085</v>
      </c>
      <c r="H17" s="42" t="n">
        <v>0.078</v>
      </c>
      <c r="I17" s="42" t="n">
        <v>0.072</v>
      </c>
      <c r="J17" s="42" t="n">
        <v>0.068</v>
      </c>
      <c r="K17" s="42" t="n">
        <v>0.065</v>
      </c>
    </row>
    <row r="18" customFormat="false" ht="15" hidden="false" customHeight="false" outlineLevel="0" collapsed="false">
      <c r="A18" s="8" t="s">
        <v>23</v>
      </c>
      <c r="B18" s="42" t="n">
        <v>0.065</v>
      </c>
    </row>
    <row r="19" customFormat="false" ht="15" hidden="false" customHeight="false" outlineLevel="0" collapsed="false">
      <c r="A19" s="43" t="s">
        <v>144</v>
      </c>
    </row>
    <row r="21" customFormat="false" ht="15" hidden="false" customHeight="false" outlineLevel="0" collapsed="false">
      <c r="A21" s="41" t="s">
        <v>145</v>
      </c>
    </row>
    <row r="22" customFormat="false" ht="15" hidden="false" customHeight="false" outlineLevel="0" collapsed="false">
      <c r="A22" s="8" t="s">
        <v>121</v>
      </c>
      <c r="B22" s="42" t="n">
        <v>0.148</v>
      </c>
      <c r="C22" s="42" t="n">
        <v>0.0871</v>
      </c>
      <c r="D22" s="42" t="n">
        <v>0.0946</v>
      </c>
      <c r="E22" s="42" t="n">
        <v>0.1032</v>
      </c>
      <c r="F22" s="42" t="n">
        <v>0.1007</v>
      </c>
      <c r="G22" s="42" t="n">
        <v>0.0951</v>
      </c>
      <c r="H22" s="42" t="n">
        <v>0.0902</v>
      </c>
      <c r="I22" s="42" t="n">
        <v>0.0795</v>
      </c>
      <c r="J22" s="42" t="n">
        <v>0.0756</v>
      </c>
      <c r="K22" s="42" t="n">
        <v>0.0739</v>
      </c>
    </row>
    <row r="23" customFormat="false" ht="15" hidden="false" customHeight="false" outlineLevel="0" collapsed="false">
      <c r="A23" s="8" t="s">
        <v>122</v>
      </c>
      <c r="B23" s="42" t="n">
        <v>0.185</v>
      </c>
      <c r="C23" s="42" t="n">
        <v>0.18</v>
      </c>
      <c r="D23" s="42" t="n">
        <v>0.18</v>
      </c>
      <c r="E23" s="42" t="n">
        <v>0.18</v>
      </c>
      <c r="F23" s="42" t="n">
        <v>0.18</v>
      </c>
      <c r="G23" s="42" t="n">
        <v>0.18</v>
      </c>
      <c r="H23" s="42" t="n">
        <v>0.18</v>
      </c>
      <c r="I23" s="42" t="n">
        <v>0.18</v>
      </c>
      <c r="J23" s="42" t="n">
        <v>0.18</v>
      </c>
      <c r="K23" s="42" t="n">
        <v>0.18</v>
      </c>
    </row>
    <row r="24" customFormat="false" ht="15" hidden="false" customHeight="false" outlineLevel="0" collapsed="false">
      <c r="A24" s="8" t="s">
        <v>142</v>
      </c>
      <c r="B24" s="42" t="n">
        <v>0.106</v>
      </c>
      <c r="C24" s="42" t="n">
        <v>0.097</v>
      </c>
      <c r="D24" s="42" t="n">
        <v>0.094</v>
      </c>
      <c r="E24" s="42" t="n">
        <v>0.089</v>
      </c>
      <c r="F24" s="42" t="n">
        <v>0.084</v>
      </c>
      <c r="G24" s="42" t="n">
        <v>0.08</v>
      </c>
      <c r="H24" s="42" t="n">
        <v>0.075</v>
      </c>
      <c r="I24" s="42" t="n">
        <v>0.07</v>
      </c>
      <c r="J24" s="42" t="n">
        <v>0.066</v>
      </c>
      <c r="K24" s="42" t="n">
        <v>0.063</v>
      </c>
    </row>
    <row r="25" customFormat="false" ht="15" hidden="false" customHeight="false" outlineLevel="0" collapsed="false">
      <c r="A25" s="8" t="s">
        <v>23</v>
      </c>
      <c r="B25" s="42" t="n">
        <v>0.05</v>
      </c>
    </row>
    <row r="26" customFormat="false" ht="15" hidden="false" customHeight="false" outlineLevel="0" collapsed="false">
      <c r="A26" s="43" t="s">
        <v>146</v>
      </c>
    </row>
    <row r="28" customFormat="false" ht="15" hidden="false" customHeight="false" outlineLevel="0" collapsed="false">
      <c r="A28" s="41" t="s">
        <v>147</v>
      </c>
    </row>
    <row r="29" customFormat="false" ht="15" hidden="false" customHeight="false" outlineLevel="0" collapsed="false">
      <c r="A29" s="8" t="s">
        <v>121</v>
      </c>
      <c r="B29" s="15" t="n">
        <f aca="false">CHOOSE(Scenarios!$B$4,B9,B15,B22)</f>
        <v>0.1998</v>
      </c>
      <c r="C29" s="15" t="n">
        <f aca="false">CHOOSE(Scenarios!$B$4,C9,C15,C22)</f>
        <v>0.1597</v>
      </c>
      <c r="D29" s="15" t="n">
        <f aca="false">CHOOSE(Scenarios!$B$4,D9,D15,D22)</f>
        <v>0.1564</v>
      </c>
      <c r="E29" s="15" t="n">
        <f aca="false">CHOOSE(Scenarios!$B$4,E9,E15,E22)</f>
        <v>0.1453</v>
      </c>
      <c r="F29" s="15" t="n">
        <f aca="false">CHOOSE(Scenarios!$B$4,F9,F15,F22)</f>
        <v>0.1358</v>
      </c>
      <c r="G29" s="15" t="n">
        <f aca="false">CHOOSE(Scenarios!$B$4,G9,G15,G22)</f>
        <v>0.1232</v>
      </c>
      <c r="H29" s="15" t="n">
        <f aca="false">CHOOSE(Scenarios!$B$4,H9,H15,H22)</f>
        <v>0.1143</v>
      </c>
      <c r="I29" s="15" t="n">
        <f aca="false">CHOOSE(Scenarios!$B$4,I9,I15,I22)</f>
        <v>0.1027</v>
      </c>
      <c r="J29" s="15" t="n">
        <f aca="false">CHOOSE(Scenarios!$B$4,J9,J15,J22)</f>
        <v>0.0981</v>
      </c>
      <c r="K29" s="15" t="n">
        <f aca="false">CHOOSE(Scenarios!$B$4,K9,K15,K22)</f>
        <v>0.0951</v>
      </c>
    </row>
    <row r="30" customFormat="false" ht="15" hidden="false" customHeight="false" outlineLevel="0" collapsed="false">
      <c r="A30" s="8" t="s">
        <v>122</v>
      </c>
      <c r="B30" s="15" t="n">
        <f aca="false">CHOOSE(Scenarios!$B$4,B10,B16,B23)</f>
        <v>0.195</v>
      </c>
      <c r="C30" s="15" t="n">
        <f aca="false">CHOOSE(Scenarios!$B$4,C10,C16,C23)</f>
        <v>0.198</v>
      </c>
      <c r="D30" s="15" t="n">
        <f aca="false">CHOOSE(Scenarios!$B$4,D10,D16,D23)</f>
        <v>0.2</v>
      </c>
      <c r="E30" s="15" t="n">
        <f aca="false">CHOOSE(Scenarios!$B$4,E10,E16,E23)</f>
        <v>0.2</v>
      </c>
      <c r="F30" s="15" t="n">
        <f aca="false">CHOOSE(Scenarios!$B$4,F10,F16,F23)</f>
        <v>0.2</v>
      </c>
      <c r="G30" s="15" t="n">
        <f aca="false">CHOOSE(Scenarios!$B$4,G10,G16,G23)</f>
        <v>0.2</v>
      </c>
      <c r="H30" s="15" t="n">
        <f aca="false">CHOOSE(Scenarios!$B$4,H10,H16,H23)</f>
        <v>0.2</v>
      </c>
      <c r="I30" s="15" t="n">
        <f aca="false">CHOOSE(Scenarios!$B$4,I10,I16,I23)</f>
        <v>0.2</v>
      </c>
      <c r="J30" s="15" t="n">
        <f aca="false">CHOOSE(Scenarios!$B$4,J10,J16,J23)</f>
        <v>0.2</v>
      </c>
      <c r="K30" s="15" t="n">
        <f aca="false">CHOOSE(Scenarios!$B$4,K10,K16,K23)</f>
        <v>0.2</v>
      </c>
    </row>
    <row r="31" customFormat="false" ht="15" hidden="false" customHeight="false" outlineLevel="0" collapsed="false">
      <c r="A31" s="8" t="s">
        <v>142</v>
      </c>
      <c r="B31" s="15" t="n">
        <f aca="false">CHOOSE(Scenarios!$B$4,B11,B17,B24)</f>
        <v>0.118</v>
      </c>
      <c r="C31" s="15" t="n">
        <f aca="false">CHOOSE(Scenarios!$B$4,C11,C17,C24)</f>
        <v>0.111</v>
      </c>
      <c r="D31" s="15" t="n">
        <f aca="false">CHOOSE(Scenarios!$B$4,D11,D17,D24)</f>
        <v>0.104</v>
      </c>
      <c r="E31" s="15" t="n">
        <f aca="false">CHOOSE(Scenarios!$B$4,E11,E17,E24)</f>
        <v>0.096</v>
      </c>
      <c r="F31" s="15" t="n">
        <f aca="false">CHOOSE(Scenarios!$B$4,F11,F17,F24)</f>
        <v>0.089</v>
      </c>
      <c r="G31" s="15" t="n">
        <f aca="false">CHOOSE(Scenarios!$B$4,G11,G17,G24)</f>
        <v>0.082</v>
      </c>
      <c r="H31" s="15" t="n">
        <f aca="false">CHOOSE(Scenarios!$B$4,H11,H17,H24)</f>
        <v>0.077</v>
      </c>
      <c r="I31" s="15" t="n">
        <f aca="false">CHOOSE(Scenarios!$B$4,I11,I17,I24)</f>
        <v>0.072</v>
      </c>
      <c r="J31" s="15" t="n">
        <f aca="false">CHOOSE(Scenarios!$B$4,J11,J17,J24)</f>
        <v>0.068</v>
      </c>
      <c r="K31" s="15" t="n">
        <f aca="false">CHOOSE(Scenarios!$B$4,K11,K17,K24)</f>
        <v>0.064</v>
      </c>
    </row>
    <row r="32" customFormat="false" ht="15" hidden="false" customHeight="false" outlineLevel="0" collapsed="false">
      <c r="A32" s="8" t="s">
        <v>23</v>
      </c>
      <c r="B32" s="15" t="n">
        <f aca="false">CHOOSE(Scenarios!$B$4,B12,B18,B25)</f>
        <v>0.06</v>
      </c>
    </row>
    <row r="34" customFormat="false" ht="15" hidden="false" customHeight="false" outlineLevel="0" collapsed="false">
      <c r="A34" s="41" t="s">
        <v>148</v>
      </c>
    </row>
    <row r="35" customFormat="false" ht="15" hidden="false" customHeight="false" outlineLevel="0" collapsed="false">
      <c r="A35" s="3" t="s">
        <v>149</v>
      </c>
      <c r="B35" s="4" t="s">
        <v>3</v>
      </c>
      <c r="C35" s="4" t="s">
        <v>150</v>
      </c>
    </row>
    <row r="36" customFormat="false" ht="15" hidden="false" customHeight="false" outlineLevel="0" collapsed="false">
      <c r="A36" s="8" t="s">
        <v>151</v>
      </c>
      <c r="B36" s="44" t="n">
        <v>772</v>
      </c>
      <c r="C36" s="44" t="n">
        <v>875</v>
      </c>
    </row>
    <row r="37" customFormat="false" ht="15" hidden="false" customHeight="false" outlineLevel="0" collapsed="false">
      <c r="A37" s="8" t="s">
        <v>152</v>
      </c>
      <c r="B37" s="44" t="n">
        <v>1041</v>
      </c>
      <c r="C37" s="44" t="n">
        <v>1180</v>
      </c>
    </row>
    <row r="38" customFormat="false" ht="15" hidden="false" customHeight="false" outlineLevel="0" collapsed="false">
      <c r="A38" s="8" t="s">
        <v>153</v>
      </c>
      <c r="B38" s="44" t="n">
        <v>483</v>
      </c>
      <c r="C38" s="44" t="n">
        <v>545</v>
      </c>
    </row>
    <row r="40" customFormat="false" ht="15" hidden="false" customHeight="false" outlineLevel="0" collapsed="false">
      <c r="A40" s="8" t="s">
        <v>154</v>
      </c>
      <c r="B40" s="45" t="n">
        <f aca="false">DCF!B45</f>
        <v>772.277801040643</v>
      </c>
    </row>
    <row r="41" customFormat="false" ht="15" hidden="false" customHeight="false" outlineLevel="0" collapsed="false">
      <c r="A41" s="8" t="s">
        <v>155</v>
      </c>
      <c r="B41" s="46" t="n">
        <f aca="false">INDEX(B36:B38,Scenarios!$B$4)</f>
        <v>772</v>
      </c>
    </row>
    <row r="42" customFormat="false" ht="15" hidden="false" customHeight="false" outlineLevel="0" collapsed="false">
      <c r="A42" s="6" t="s">
        <v>156</v>
      </c>
      <c r="B42" s="47" t="n">
        <f aca="false">ROUND(B40,0)-B41</f>
        <v>0</v>
      </c>
    </row>
  </sheetData>
  <sheetProtection sheet="true" formatColumns="false" formatRows="false"/>
  <dataValidations count="1">
    <dataValidation allowBlank="false" errorStyle="stop" operator="between" showDropDown="false" showErrorMessage="false" showInputMessage="false" sqref="B4" type="whole">
      <formula1>1</formula1>
      <formula2>3</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2" min="3" style="0" width="13"/>
  </cols>
  <sheetData>
    <row r="1" customFormat="false" ht="17.35" hidden="false" customHeight="false" outlineLevel="0" collapsed="false">
      <c r="A1" s="1" t="s">
        <v>157</v>
      </c>
    </row>
    <row r="2" customFormat="false" ht="15" hidden="false" customHeight="false" outlineLevel="0" collapsed="false">
      <c r="A2" s="2" t="s">
        <v>107</v>
      </c>
    </row>
    <row r="4" customFormat="false" ht="15" hidden="false" customHeight="false" outlineLevel="0" collapsed="false">
      <c r="A4" s="5" t="s">
        <v>108</v>
      </c>
      <c r="B4" s="27" t="s">
        <v>109</v>
      </c>
      <c r="C4" s="27" t="s">
        <v>110</v>
      </c>
      <c r="D4" s="27" t="s">
        <v>111</v>
      </c>
      <c r="E4" s="27" t="s">
        <v>62</v>
      </c>
      <c r="F4" s="27" t="s">
        <v>66</v>
      </c>
      <c r="G4" s="27" t="s">
        <v>112</v>
      </c>
      <c r="H4" s="27" t="s">
        <v>113</v>
      </c>
      <c r="I4" s="27" t="s">
        <v>114</v>
      </c>
      <c r="J4" s="27" t="s">
        <v>64</v>
      </c>
      <c r="K4" s="27" t="s">
        <v>5</v>
      </c>
      <c r="L4" s="27" t="s">
        <v>6</v>
      </c>
      <c r="M4" s="27" t="s">
        <v>7</v>
      </c>
      <c r="N4" s="27" t="s">
        <v>69</v>
      </c>
      <c r="O4" s="27" t="s">
        <v>115</v>
      </c>
      <c r="P4" s="27" t="s">
        <v>116</v>
      </c>
      <c r="Q4" s="27" t="s">
        <v>117</v>
      </c>
      <c r="R4" s="27" t="s">
        <v>118</v>
      </c>
      <c r="S4" s="27" t="s">
        <v>119</v>
      </c>
      <c r="T4" s="27" t="s">
        <v>55</v>
      </c>
      <c r="U4" s="27" t="s">
        <v>57</v>
      </c>
    </row>
    <row r="5" customFormat="false" ht="15" hidden="false" customHeight="false" outlineLevel="0" collapsed="false">
      <c r="A5" s="28" t="s">
        <v>158</v>
      </c>
      <c r="B5" s="29"/>
      <c r="C5" s="29"/>
      <c r="D5" s="29"/>
      <c r="E5" s="29"/>
      <c r="F5" s="29"/>
      <c r="G5" s="29"/>
      <c r="H5" s="29"/>
      <c r="I5" s="29"/>
      <c r="J5" s="29"/>
      <c r="K5" s="29"/>
      <c r="L5" s="29"/>
      <c r="M5" s="29"/>
      <c r="N5" s="29"/>
      <c r="O5" s="29"/>
      <c r="P5" s="29"/>
      <c r="Q5" s="29"/>
      <c r="R5" s="29"/>
      <c r="S5" s="29"/>
      <c r="T5" s="29"/>
      <c r="U5" s="29"/>
    </row>
    <row r="6" customFormat="false" ht="15" hidden="false" customHeight="false" outlineLevel="0" collapsed="false">
      <c r="A6" s="32" t="s">
        <v>121</v>
      </c>
      <c r="B6" s="19" t="n">
        <f aca="false">(IFERROR(('Income Statement'!B6)/(0),0)-1)</f>
        <v>-1</v>
      </c>
      <c r="C6" s="19" t="n">
        <f aca="false">(IFERROR(('Income Statement'!C6)/('Income Statement'!B6),0)-1)</f>
        <v>0.190362163713006</v>
      </c>
      <c r="D6" s="19" t="n">
        <f aca="false">(IFERROR(('Income Statement'!D6)/('Income Statement'!C6),0)-1)</f>
        <v>0.219137318884243</v>
      </c>
      <c r="E6" s="19" t="n">
        <f aca="false">(IFERROR(('Income Statement'!E6)/('Income Statement'!D6),0)-1)</f>
        <v>0.32534673641949</v>
      </c>
      <c r="F6" s="19" t="n">
        <f aca="false">(IFERROR(('Income Statement'!F6)/('Income Statement'!E6),0)-1)</f>
        <v>-0.25617473422108</v>
      </c>
      <c r="G6" s="19" t="n">
        <f aca="false">(IFERROR(('Income Statement'!G6)/('Income Statement'!F6),0)-1)</f>
        <v>0.734704738985561</v>
      </c>
      <c r="H6" s="19" t="n">
        <f aca="false">(IFERROR(('Income Statement'!H6)/('Income Statement'!G6),0)-1)</f>
        <v>0.832366241146104</v>
      </c>
      <c r="I6" s="19" t="n">
        <f aca="false">(IFERROR(('Income Statement'!I6)/('Income Statement'!H6),0)-1)</f>
        <v>0.501465660117301</v>
      </c>
      <c r="J6" s="19" t="n">
        <f aca="false">(IFERROR(('Income Statement'!J6)/('Income Statement'!I6),0)-1)</f>
        <v>0.38460264191591</v>
      </c>
      <c r="K6" s="19" t="n">
        <f aca="false">(IFERROR(('Income Statement'!K6)/('Income Statement'!J6),0)-1)</f>
        <v>0.171559200938918</v>
      </c>
      <c r="L6" s="19" t="n">
        <f aca="false">Scenarios!B29</f>
        <v>0.1998</v>
      </c>
      <c r="M6" s="19" t="n">
        <f aca="false">Scenarios!C29</f>
        <v>0.1597</v>
      </c>
      <c r="N6" s="19" t="n">
        <f aca="false">Scenarios!D29</f>
        <v>0.1564</v>
      </c>
      <c r="O6" s="19" t="n">
        <f aca="false">Scenarios!E29</f>
        <v>0.1453</v>
      </c>
      <c r="P6" s="19" t="n">
        <f aca="false">Scenarios!F29</f>
        <v>0.1358</v>
      </c>
      <c r="Q6" s="19" t="n">
        <f aca="false">Scenarios!G29</f>
        <v>0.1232</v>
      </c>
      <c r="R6" s="19" t="n">
        <f aca="false">Scenarios!H29</f>
        <v>0.1143</v>
      </c>
      <c r="S6" s="19" t="n">
        <f aca="false">Scenarios!I29</f>
        <v>0.1027</v>
      </c>
      <c r="T6" s="19" t="n">
        <f aca="false">Scenarios!J29</f>
        <v>0.0981</v>
      </c>
      <c r="U6" s="19" t="n">
        <f aca="false">Scenarios!K29</f>
        <v>0.0951</v>
      </c>
    </row>
    <row r="7" customFormat="false" ht="15" hidden="false" customHeight="false" outlineLevel="0" collapsed="false">
      <c r="A7" s="32" t="s">
        <v>159</v>
      </c>
      <c r="B7" s="19" t="n">
        <f aca="false">IFERROR(('Income Statement'!B8)/('Income Statement'!B6),0)</f>
        <v>0.407279689258679</v>
      </c>
      <c r="C7" s="19" t="n">
        <f aca="false">IFERROR(('Income Statement'!C8)/('Income Statement'!C6),0)</f>
        <v>0.419660155924096</v>
      </c>
      <c r="D7" s="19" t="n">
        <f aca="false">IFERROR(('Income Statement'!D8)/('Income Statement'!D6),0)</f>
        <v>0.319769298619137</v>
      </c>
      <c r="E7" s="19" t="n">
        <f aca="false">IFERROR(('Income Statement'!E8)/('Income Statement'!E6),0)</f>
        <v>0.373008450995129</v>
      </c>
      <c r="F7" s="19" t="n">
        <f aca="false">IFERROR(('Income Statement'!F8)/('Income Statement'!F6),0)</f>
        <v>0.479093391336542</v>
      </c>
      <c r="G7" s="19" t="n">
        <f aca="false">IFERROR(('Income Statement'!G8)/('Income Statement'!G6),0)</f>
        <v>0.208929706848791</v>
      </c>
      <c r="H7" s="19" t="n">
        <f aca="false">IFERROR(('Income Statement'!H8)/('Income Statement'!H6),0)</f>
        <v>0.264909573138624</v>
      </c>
      <c r="I7" s="19" t="n">
        <f aca="false">IFERROR(('Income Statement'!I8)/('Income Statement'!I6),0)</f>
        <v>0.371152256424387</v>
      </c>
      <c r="J7" s="19" t="n">
        <f aca="false">IFERROR(('Income Statement'!J8)/('Income Statement'!J6),0)</f>
        <v>0.33950641421077</v>
      </c>
      <c r="K7" s="19" t="n">
        <f aca="false">IFERROR(('Income Statement'!K8)/('Income Statement'!K6),0)</f>
        <v>0.372262221028872</v>
      </c>
      <c r="L7" s="48" t="n">
        <v>0.43</v>
      </c>
      <c r="M7" s="48" t="n">
        <v>0.43</v>
      </c>
      <c r="N7" s="48" t="n">
        <v>0.43</v>
      </c>
      <c r="O7" s="48" t="n">
        <v>0.43</v>
      </c>
      <c r="P7" s="48" t="n">
        <v>0.43</v>
      </c>
      <c r="Q7" s="48" t="n">
        <v>0.43</v>
      </c>
      <c r="R7" s="48" t="n">
        <v>0.43</v>
      </c>
      <c r="S7" s="48" t="n">
        <v>0.43</v>
      </c>
      <c r="T7" s="48" t="n">
        <v>0.43</v>
      </c>
      <c r="U7" s="48" t="n">
        <v>0.43</v>
      </c>
    </row>
    <row r="8" customFormat="false" ht="15" hidden="false" customHeight="false" outlineLevel="0" collapsed="false">
      <c r="A8" s="32" t="s">
        <v>122</v>
      </c>
      <c r="B8" s="19" t="n">
        <f aca="false">IFERROR(('Income Statement'!B10)/('Income Statement'!B6),0)</f>
        <v>0.0736741630067754</v>
      </c>
      <c r="C8" s="19" t="n">
        <f aca="false">IFERROR(('Income Statement'!C10)/('Income Statement'!C6),0)</f>
        <v>0.0966414209301679</v>
      </c>
      <c r="D8" s="19" t="n">
        <f aca="false">IFERROR(('Income Statement'!D10)/('Income Statement'!D6),0)</f>
        <v>0.0914897499847923</v>
      </c>
      <c r="E8" s="19" t="n">
        <f aca="false">IFERROR(('Income Statement'!E10)/('Income Statement'!E6),0)</f>
        <v>0.151742121297311</v>
      </c>
      <c r="F8" s="19" t="n">
        <f aca="false">IFERROR(('Income Statement'!F10)/('Income Statement'!F6),0)</f>
        <v>0.0439150623225966</v>
      </c>
      <c r="G8" s="19" t="n">
        <f aca="false">IFERROR(('Income Statement'!G10)/('Income Statement'!G6),0)</f>
        <v>0.132218175997439</v>
      </c>
      <c r="H8" s="19" t="n">
        <f aca="false">IFERROR(('Income Statement'!H10)/('Income Statement'!H6),0)</f>
        <v>0.13517924004067</v>
      </c>
      <c r="I8" s="19" t="n">
        <f aca="false">IFERROR(('Income Statement'!I10)/('Income Statement'!I6),0)</f>
        <v>0.159246261245355</v>
      </c>
      <c r="J8" s="19" t="n">
        <f aca="false">IFERROR(('Income Statement'!J10)/('Income Statement'!J6),0)</f>
        <v>0.16457684184233</v>
      </c>
      <c r="K8" s="19" t="n">
        <f aca="false">IFERROR(('Income Statement'!K10)/('Income Statement'!K6),0)</f>
        <v>0.186575212673375</v>
      </c>
      <c r="L8" s="19" t="n">
        <f aca="false">Scenarios!B30</f>
        <v>0.195</v>
      </c>
      <c r="M8" s="19" t="n">
        <f aca="false">Scenarios!C30</f>
        <v>0.198</v>
      </c>
      <c r="N8" s="19" t="n">
        <f aca="false">Scenarios!D30</f>
        <v>0.2</v>
      </c>
      <c r="O8" s="19" t="n">
        <f aca="false">Scenarios!E30</f>
        <v>0.2</v>
      </c>
      <c r="P8" s="19" t="n">
        <f aca="false">Scenarios!F30</f>
        <v>0.2</v>
      </c>
      <c r="Q8" s="19" t="n">
        <f aca="false">Scenarios!G30</f>
        <v>0.2</v>
      </c>
      <c r="R8" s="19" t="n">
        <f aca="false">Scenarios!H30</f>
        <v>0.2</v>
      </c>
      <c r="S8" s="19" t="n">
        <f aca="false">Scenarios!I30</f>
        <v>0.2</v>
      </c>
      <c r="T8" s="19" t="n">
        <f aca="false">Scenarios!J30</f>
        <v>0.2</v>
      </c>
      <c r="U8" s="19" t="n">
        <f aca="false">Scenarios!K30</f>
        <v>0.2</v>
      </c>
    </row>
    <row r="9" customFormat="false" ht="15" hidden="false" customHeight="false" outlineLevel="0" collapsed="false">
      <c r="A9" s="32" t="s">
        <v>160</v>
      </c>
      <c r="B9" s="19" t="n">
        <f aca="false">IFERROR(('Income Statement'!B13)/('Income Statement'!B6),0)</f>
        <v>0.0448621747478537</v>
      </c>
      <c r="C9" s="19" t="n">
        <f aca="false">IFERROR(('Income Statement'!C13)/('Income Statement'!C6),0)</f>
        <v>0.0127325651460514</v>
      </c>
      <c r="D9" s="19" t="n">
        <f aca="false">IFERROR(('Income Statement'!D13)/('Income Statement'!D6),0)</f>
        <v>0.0114590303546444</v>
      </c>
      <c r="E9" s="19" t="n">
        <f aca="false">IFERROR(('Income Statement'!E13)/('Income Statement'!E6),0)</f>
        <v>0.0420627771817394</v>
      </c>
      <c r="F9" s="19" t="n">
        <f aca="false">IFERROR(('Income Statement'!F13)/('Income Statement'!F6),0)</f>
        <v>0.076900530667654</v>
      </c>
      <c r="G9" s="19" t="n">
        <f aca="false">IFERROR(('Income Statement'!G13)/('Income Statement'!G6),0)</f>
        <v>0.033828217749143</v>
      </c>
      <c r="H9" s="19" t="n">
        <f aca="false">IFERROR(('Income Statement'!H13)/('Income Statement'!H6),0)</f>
        <v>0.0413248208570229</v>
      </c>
      <c r="I9" s="19" t="n">
        <f aca="false">IFERROR(('Income Statement'!I13)/('Income Statement'!I6),0)</f>
        <v>0.0799112088700626</v>
      </c>
      <c r="J9" s="19" t="n">
        <f aca="false">IFERROR(('Income Statement'!J13)/('Income Statement'!J6),0)</f>
        <v>0.0178037317452805</v>
      </c>
      <c r="K9" s="19" t="n">
        <f aca="false">IFERROR(('Income Statement'!K13)/('Income Statement'!K6),0)</f>
        <v>0.00423677942992526</v>
      </c>
      <c r="L9" s="48" t="n">
        <v>0.003</v>
      </c>
      <c r="M9" s="48" t="n">
        <v>0.003</v>
      </c>
      <c r="N9" s="48" t="n">
        <v>0.003</v>
      </c>
      <c r="O9" s="48" t="n">
        <v>0.003</v>
      </c>
      <c r="P9" s="48" t="n">
        <v>0.003</v>
      </c>
      <c r="Q9" s="48" t="n">
        <v>0.003</v>
      </c>
      <c r="R9" s="48" t="n">
        <v>0.003</v>
      </c>
      <c r="S9" s="48" t="n">
        <v>0.003</v>
      </c>
      <c r="T9" s="48" t="n">
        <v>0.003</v>
      </c>
      <c r="U9" s="48" t="n">
        <v>0.003</v>
      </c>
    </row>
    <row r="10" customFormat="false" ht="15" hidden="false" customHeight="false" outlineLevel="0" collapsed="false">
      <c r="A10" s="28" t="s">
        <v>161</v>
      </c>
      <c r="B10" s="29"/>
      <c r="C10" s="29"/>
      <c r="D10" s="29"/>
      <c r="E10" s="29"/>
      <c r="F10" s="29"/>
      <c r="G10" s="29"/>
      <c r="H10" s="29"/>
      <c r="I10" s="29"/>
      <c r="J10" s="29"/>
      <c r="K10" s="29"/>
      <c r="L10" s="29"/>
      <c r="M10" s="29"/>
      <c r="N10" s="29"/>
      <c r="O10" s="29"/>
      <c r="P10" s="29"/>
      <c r="Q10" s="29"/>
      <c r="R10" s="29"/>
      <c r="S10" s="29"/>
      <c r="T10" s="29"/>
      <c r="U10" s="29"/>
    </row>
    <row r="11" customFormat="false" ht="15" hidden="false" customHeight="false" outlineLevel="0" collapsed="false">
      <c r="A11" s="32" t="s">
        <v>142</v>
      </c>
      <c r="B11" s="19" t="n">
        <f aca="false">IFERROR((Schedules!B7)/('Income Statement'!B6),0)</f>
        <v>0</v>
      </c>
      <c r="C11" s="19" t="n">
        <f aca="false">IFERROR((Schedules!C7)/('Income Statement'!C6),0)</f>
        <v>0.0506846013367571</v>
      </c>
      <c r="D11" s="19" t="n">
        <f aca="false">IFERROR((Schedules!D7)/('Income Statement'!D6),0)</f>
        <v>0.0385211995863495</v>
      </c>
      <c r="E11" s="19" t="n">
        <f aca="false">IFERROR((Schedules!E7)/('Income Statement'!E6),0)</f>
        <v>0.666524191188704</v>
      </c>
      <c r="F11" s="19" t="n">
        <f aca="false">IFERROR((Schedules!F7)/('Income Statement'!F6),0)</f>
        <v>0.220863414784648</v>
      </c>
      <c r="G11" s="19" t="n">
        <f aca="false">IFERROR((Schedules!G7)/('Income Statement'!G6),0)</f>
        <v>0.432125690859534</v>
      </c>
      <c r="H11" s="19" t="n">
        <f aca="false">IFERROR((Schedules!H7)/('Income Statement'!H6),0)</f>
        <v>0.0405155532260295</v>
      </c>
      <c r="I11" s="19" t="n">
        <f aca="false">IFERROR((Schedules!I7)/('Income Statement'!I6),0)</f>
        <v>-0.1136086871147</v>
      </c>
      <c r="J11" s="19" t="n">
        <f aca="false">IFERROR((Schedules!J7)/('Income Statement'!J6),0)</f>
        <v>0.136588460431839</v>
      </c>
      <c r="K11" s="19" t="n">
        <f aca="false">IFERROR((Schedules!K7)/('Income Statement'!K6),0)</f>
        <v>0.148688292092192</v>
      </c>
      <c r="L11" s="19" t="n">
        <f aca="false">Scenarios!B31</f>
        <v>0.118</v>
      </c>
      <c r="M11" s="19" t="n">
        <f aca="false">Scenarios!C31</f>
        <v>0.111</v>
      </c>
      <c r="N11" s="19" t="n">
        <f aca="false">Scenarios!D31</f>
        <v>0.104</v>
      </c>
      <c r="O11" s="19" t="n">
        <f aca="false">Scenarios!E31</f>
        <v>0.096</v>
      </c>
      <c r="P11" s="19" t="n">
        <f aca="false">Scenarios!F31</f>
        <v>0.089</v>
      </c>
      <c r="Q11" s="19" t="n">
        <f aca="false">Scenarios!G31</f>
        <v>0.082</v>
      </c>
      <c r="R11" s="19" t="n">
        <f aca="false">Scenarios!H31</f>
        <v>0.077</v>
      </c>
      <c r="S11" s="19" t="n">
        <f aca="false">Scenarios!I31</f>
        <v>0.072</v>
      </c>
      <c r="T11" s="19" t="n">
        <f aca="false">Scenarios!J31</f>
        <v>0.068</v>
      </c>
      <c r="U11" s="19" t="n">
        <f aca="false">Scenarios!K31</f>
        <v>0.064</v>
      </c>
    </row>
    <row r="12" customFormat="false" ht="15" hidden="false" customHeight="false" outlineLevel="0" collapsed="false">
      <c r="A12" s="32" t="s">
        <v>162</v>
      </c>
      <c r="B12" s="19" t="n">
        <f aca="false">IFERROR(('Income Statement'!B11)/(0),0)</f>
        <v>0</v>
      </c>
      <c r="C12" s="19" t="n">
        <f aca="false">IFERROR(('Income Statement'!C11)/('Balance Sheet'!B10),0)</f>
        <v>0.0829764356399555</v>
      </c>
      <c r="D12" s="19" t="n">
        <f aca="false">IFERROR(('Income Statement'!D11)/('Balance Sheet'!C10),0)</f>
        <v>0.0843550519974532</v>
      </c>
      <c r="E12" s="19" t="n">
        <f aca="false">IFERROR(('Income Statement'!E11)/('Balance Sheet'!D10),0)</f>
        <v>0.373372798936845</v>
      </c>
      <c r="F12" s="19" t="n">
        <f aca="false">IFERROR(('Income Statement'!F11)/('Balance Sheet'!E10),0)</f>
        <v>0.0939589472800108</v>
      </c>
      <c r="G12" s="19" t="n">
        <f aca="false">IFERROR(('Income Statement'!G11)/('Balance Sheet'!F10),0)</f>
        <v>0.101780720540176</v>
      </c>
      <c r="H12" s="19" t="n">
        <f aca="false">IFERROR(('Income Statement'!H11)/('Balance Sheet'!G10),0)</f>
        <v>0.105338286345859</v>
      </c>
      <c r="I12" s="19" t="n">
        <f aca="false">IFERROR(('Income Statement'!I11)/('Balance Sheet'!H10),0)</f>
        <v>0.148247716453683</v>
      </c>
      <c r="J12" s="19" t="n">
        <f aca="false">IFERROR(('Income Statement'!J11)/('Balance Sheet'!I10),0)</f>
        <v>0.365391522988506</v>
      </c>
      <c r="K12" s="19" t="n">
        <f aca="false">IFERROR(('Income Statement'!K11)/('Balance Sheet'!J10),0)</f>
        <v>0.349459453214655</v>
      </c>
      <c r="L12" s="48" t="n">
        <v>0.287699564218948</v>
      </c>
      <c r="M12" s="48" t="n">
        <v>0.287699564218948</v>
      </c>
      <c r="N12" s="48" t="n">
        <v>0.287699564218948</v>
      </c>
      <c r="O12" s="48" t="n">
        <v>0.287699564218948</v>
      </c>
      <c r="P12" s="48" t="n">
        <v>0.287699564218948</v>
      </c>
      <c r="Q12" s="48" t="n">
        <v>0.287699564218948</v>
      </c>
      <c r="R12" s="48" t="n">
        <v>0.287699564218948</v>
      </c>
      <c r="S12" s="48" t="n">
        <v>0.287699564218948</v>
      </c>
      <c r="T12" s="48" t="n">
        <v>0.287699564218948</v>
      </c>
      <c r="U12" s="48" t="n">
        <v>0.287699564218948</v>
      </c>
    </row>
    <row r="13" customFormat="false" ht="15" hidden="false" customHeight="false" outlineLevel="0" collapsed="false">
      <c r="A13" s="32" t="s">
        <v>163</v>
      </c>
      <c r="B13" s="19" t="n">
        <f aca="false">IFERROR(('Income Statement'!B11)/('Income Statement'!B6),0)</f>
        <v>0.0227814437995189</v>
      </c>
      <c r="C13" s="19" t="n">
        <f aca="false">IFERROR(('Income Statement'!C11)/('Income Statement'!C6),0)</f>
        <v>0.0211035198798587</v>
      </c>
      <c r="D13" s="19" t="n">
        <f aca="false">IFERROR(('Income Statement'!D11)/('Income Statement'!D6),0)</f>
        <v>0.0196445951700225</v>
      </c>
      <c r="E13" s="19" t="n">
        <f aca="false">IFERROR(('Income Statement'!E11)/('Income Statement'!E6),0)</f>
        <v>0.0709241016873304</v>
      </c>
      <c r="F13" s="19" t="n">
        <f aca="false">IFERROR(('Income Statement'!F11)/('Income Statement'!F6),0)</f>
        <v>0.099230223374059</v>
      </c>
      <c r="G13" s="19" t="n">
        <f aca="false">IFERROR(('Income Statement'!G11)/('Income Statement'!G6),0)</f>
        <v>0.0691015157780534</v>
      </c>
      <c r="H13" s="19" t="n">
        <f aca="false">IFERROR(('Income Statement'!H11)/('Income Statement'!H6),0)</f>
        <v>0.0598991509362996</v>
      </c>
      <c r="I13" s="19" t="n">
        <f aca="false">IFERROR(('Income Statement'!I11)/('Income Statement'!I6),0)</f>
        <v>0.054230629061075</v>
      </c>
      <c r="J13" s="19" t="n">
        <f aca="false">IFERROR(('Income Statement'!J11)/('Income Statement'!J6),0)</f>
        <v>0.0522439670351412</v>
      </c>
      <c r="K13" s="19" t="n">
        <f aca="false">IFERROR(('Income Statement'!K11)/('Income Statement'!K6),0)</f>
        <v>0.067807898791534</v>
      </c>
      <c r="L13" s="48" t="n">
        <v>0.071</v>
      </c>
      <c r="M13" s="48" t="n">
        <v>0.071</v>
      </c>
      <c r="N13" s="48" t="n">
        <v>0.07</v>
      </c>
      <c r="O13" s="48" t="n">
        <v>0.069</v>
      </c>
      <c r="P13" s="48" t="n">
        <v>0.067</v>
      </c>
      <c r="Q13" s="48" t="n">
        <v>0.065</v>
      </c>
      <c r="R13" s="48" t="n">
        <v>0.064</v>
      </c>
      <c r="S13" s="48" t="n">
        <v>0.063</v>
      </c>
      <c r="T13" s="48" t="n">
        <v>0.062</v>
      </c>
      <c r="U13" s="48" t="n">
        <v>0.06</v>
      </c>
    </row>
    <row r="14" customFormat="false" ht="15" hidden="false" customHeight="false" outlineLevel="0" collapsed="false">
      <c r="A14" s="32" t="s">
        <v>164</v>
      </c>
      <c r="B14" s="19" t="n">
        <f aca="false">IFERROR(('Balance Sheet'!B11)/('Income Statement'!B6),0)</f>
        <v>0.003023548365739</v>
      </c>
      <c r="C14" s="19" t="n">
        <f aca="false">IFERROR(('Balance Sheet'!C11)/('Income Statement'!C6),0)</f>
        <v>0.00444504185477367</v>
      </c>
      <c r="D14" s="19" t="n">
        <f aca="false">IFERROR(('Balance Sheet'!D11)/('Income Statement'!D6),0)</f>
        <v>0.0331452643104812</v>
      </c>
      <c r="E14" s="19" t="n">
        <f aca="false">IFERROR(('Balance Sheet'!E11)/('Income Statement'!E6),0)</f>
        <v>0.00668965398539292</v>
      </c>
      <c r="F14" s="19" t="n">
        <f aca="false">IFERROR(('Balance Sheet'!F11)/('Income Statement'!F6),0)</f>
        <v>0.0416435270887326</v>
      </c>
      <c r="G14" s="19" t="n">
        <f aca="false">IFERROR(('Balance Sheet'!G11)/('Income Statement'!G6),0)</f>
        <v>0.0232813549072703</v>
      </c>
      <c r="H14" s="19" t="n">
        <f aca="false">IFERROR(('Balance Sheet'!H11)/('Income Statement'!H6),0)</f>
        <v>0.0123416346963487</v>
      </c>
      <c r="I14" s="19" t="n">
        <f aca="false">IFERROR(('Balance Sheet'!I11)/('Income Statement'!I6),0)</f>
        <v>0.0180830715848182</v>
      </c>
      <c r="J14" s="19" t="n">
        <f aca="false">IFERROR(('Balance Sheet'!J11)/('Income Statement'!J6),0)</f>
        <v>0.0104758731012845</v>
      </c>
      <c r="K14" s="19" t="n">
        <f aca="false">IFERROR(('Balance Sheet'!K11)/('Income Statement'!K6),0)</f>
        <v>0.0126525527031948</v>
      </c>
      <c r="L14" s="48" t="n">
        <v>0.0137371657964325</v>
      </c>
      <c r="M14" s="48" t="n">
        <v>0.0137371657964325</v>
      </c>
      <c r="N14" s="48" t="n">
        <v>0.0137371657964325</v>
      </c>
      <c r="O14" s="48" t="n">
        <v>0.0137371657964325</v>
      </c>
      <c r="P14" s="48" t="n">
        <v>0.0137371657964325</v>
      </c>
      <c r="Q14" s="48" t="n">
        <v>0.0137371657964325</v>
      </c>
      <c r="R14" s="48" t="n">
        <v>0.0137371657964325</v>
      </c>
      <c r="S14" s="48" t="n">
        <v>0.0137371657964325</v>
      </c>
      <c r="T14" s="48" t="n">
        <v>0.0137371657964325</v>
      </c>
      <c r="U14" s="48" t="n">
        <v>0.0137371657964325</v>
      </c>
    </row>
    <row r="15" customFormat="false" ht="15" hidden="false" customHeight="false" outlineLevel="0" collapsed="false">
      <c r="A15" s="28" t="s">
        <v>165</v>
      </c>
      <c r="B15" s="29"/>
      <c r="C15" s="29"/>
      <c r="D15" s="29"/>
      <c r="E15" s="29"/>
      <c r="F15" s="29"/>
      <c r="G15" s="29"/>
      <c r="H15" s="29"/>
      <c r="I15" s="29"/>
      <c r="J15" s="29"/>
      <c r="K15" s="29"/>
      <c r="L15" s="29"/>
      <c r="M15" s="29"/>
      <c r="N15" s="29"/>
      <c r="O15" s="29"/>
      <c r="P15" s="29"/>
      <c r="Q15" s="29"/>
      <c r="R15" s="29"/>
      <c r="S15" s="29"/>
      <c r="T15" s="29"/>
      <c r="U15" s="29"/>
    </row>
    <row r="16" customFormat="false" ht="15" hidden="false" customHeight="false" outlineLevel="0" collapsed="false">
      <c r="A16" s="32" t="s">
        <v>166</v>
      </c>
      <c r="B16" s="49" t="n">
        <f aca="false">(IFERROR(('Balance Sheet'!B7)/('Income Statement'!B6),0)*365)</f>
        <v>1.19220498333738</v>
      </c>
      <c r="C16" s="49" t="n">
        <f aca="false">(IFERROR(('Balance Sheet'!C7)/('Income Statement'!C6),0)*365)</f>
        <v>2.55462441945621</v>
      </c>
      <c r="D16" s="49" t="n">
        <f aca="false">(IFERROR(('Balance Sheet'!D7)/('Income Statement'!D6),0)*365)</f>
        <v>2.29526583125494</v>
      </c>
      <c r="E16" s="49" t="n">
        <f aca="false">(IFERROR(('Balance Sheet'!E7)/('Income Statement'!E6),0)*365)</f>
        <v>1.79255187924199</v>
      </c>
      <c r="F16" s="49" t="n">
        <f aca="false">(IFERROR(('Balance Sheet'!F7)/('Income Statement'!F6),0)*365)</f>
        <v>2.92370495495496</v>
      </c>
      <c r="G16" s="49" t="n">
        <f aca="false">(IFERROR(('Balance Sheet'!G7)/('Income Statement'!G6),0)*365)</f>
        <v>1.48174085486503</v>
      </c>
      <c r="H16" s="49" t="n">
        <f aca="false">(IFERROR(('Balance Sheet'!H7)/('Income Statement'!H6),0)*365)</f>
        <v>1.52297009713638</v>
      </c>
      <c r="I16" s="49" t="n">
        <f aca="false">(IFERROR(('Balance Sheet'!I7)/('Income Statement'!I6),0)*365)</f>
        <v>2.4108957415328</v>
      </c>
      <c r="J16" s="49" t="n">
        <f aca="false">(IFERROR(('Balance Sheet'!J7)/('Income Statement'!J6),0)*365)</f>
        <v>1.34095552802194</v>
      </c>
      <c r="K16" s="49" t="n">
        <f aca="false">(IFERROR(('Balance Sheet'!K7)/('Income Statement'!K6),0)*365)</f>
        <v>0.929854773861587</v>
      </c>
      <c r="L16" s="50" t="n">
        <v>1</v>
      </c>
      <c r="M16" s="50" t="n">
        <v>1</v>
      </c>
      <c r="N16" s="50" t="n">
        <v>1</v>
      </c>
      <c r="O16" s="50" t="n">
        <v>1</v>
      </c>
      <c r="P16" s="50" t="n">
        <v>1</v>
      </c>
      <c r="Q16" s="50" t="n">
        <v>1</v>
      </c>
      <c r="R16" s="50" t="n">
        <v>1</v>
      </c>
      <c r="S16" s="50" t="n">
        <v>1</v>
      </c>
      <c r="T16" s="50" t="n">
        <v>1</v>
      </c>
      <c r="U16" s="50" t="n">
        <v>1</v>
      </c>
    </row>
    <row r="17" customFormat="false" ht="15" hidden="false" customHeight="false" outlineLevel="0" collapsed="false">
      <c r="A17" s="32" t="s">
        <v>167</v>
      </c>
      <c r="B17" s="49" t="n">
        <f aca="false">(IFERROR(('Balance Sheet'!B8)/('Income Statement'!B7),0)*365)</f>
        <v>103.750826142404</v>
      </c>
      <c r="C17" s="49" t="n">
        <f aca="false">(IFERROR(('Balance Sheet'!C8)/('Income Statement'!C7),0)*365)</f>
        <v>100.507204127598</v>
      </c>
      <c r="D17" s="49" t="n">
        <f aca="false">(IFERROR(('Balance Sheet'!D8)/('Income Statement'!D7),0)*365)</f>
        <v>101.392628984389</v>
      </c>
      <c r="E17" s="49" t="n">
        <f aca="false">(IFERROR(('Balance Sheet'!E8)/('Income Statement'!E7),0)*365)</f>
        <v>101.501889572124</v>
      </c>
      <c r="F17" s="49" t="n">
        <f aca="false">(IFERROR(('Balance Sheet'!F8)/('Income Statement'!F7),0)*365)</f>
        <v>115.764794290326</v>
      </c>
      <c r="G17" s="49" t="n">
        <f aca="false">(IFERROR(('Balance Sheet'!G8)/('Income Statement'!G7),0)*365)</f>
        <v>89.0155835031265</v>
      </c>
      <c r="H17" s="49" t="n">
        <f aca="false">(IFERROR(('Balance Sheet'!H8)/('Income Statement'!H7),0)*365)</f>
        <v>82.0025979470606</v>
      </c>
      <c r="I17" s="49" t="n">
        <f aca="false">(IFERROR(('Balance Sheet'!I8)/('Income Statement'!I7),0)*365)</f>
        <v>74.2343865249047</v>
      </c>
      <c r="J17" s="49" t="n">
        <f aca="false">(IFERROR(('Balance Sheet'!J8)/('Income Statement'!J7),0)*365)</f>
        <v>65.9559479734566</v>
      </c>
      <c r="K17" s="49" t="n">
        <f aca="false">(IFERROR(('Balance Sheet'!K8)/('Income Statement'!K7),0)*365)</f>
        <v>66.3015718963221</v>
      </c>
      <c r="L17" s="50" t="n">
        <v>71</v>
      </c>
      <c r="M17" s="50" t="n">
        <v>71</v>
      </c>
      <c r="N17" s="50" t="n">
        <v>71</v>
      </c>
      <c r="O17" s="50" t="n">
        <v>71</v>
      </c>
      <c r="P17" s="50" t="n">
        <v>71</v>
      </c>
      <c r="Q17" s="50" t="n">
        <v>71</v>
      </c>
      <c r="R17" s="50" t="n">
        <v>71</v>
      </c>
      <c r="S17" s="50" t="n">
        <v>71</v>
      </c>
      <c r="T17" s="50" t="n">
        <v>71</v>
      </c>
      <c r="U17" s="50" t="n">
        <v>71</v>
      </c>
    </row>
    <row r="18" customFormat="false" ht="15" hidden="false" customHeight="false" outlineLevel="0" collapsed="false">
      <c r="A18" s="32" t="s">
        <v>168</v>
      </c>
      <c r="B18" s="49" t="n">
        <f aca="false">(IFERROR(('Balance Sheet'!B20)/('Income Statement'!B7),0)*365)</f>
        <v>0</v>
      </c>
      <c r="C18" s="49" t="n">
        <f aca="false">(IFERROR(('Balance Sheet'!C20)/('Income Statement'!C7),0)*365)</f>
        <v>0</v>
      </c>
      <c r="D18" s="49" t="n">
        <f aca="false">(IFERROR(('Balance Sheet'!D20)/('Income Statement'!D7),0)*365)</f>
        <v>0</v>
      </c>
      <c r="E18" s="49" t="n">
        <f aca="false">(IFERROR(('Balance Sheet'!E20)/('Income Statement'!E7),0)*365)</f>
        <v>0</v>
      </c>
      <c r="F18" s="49" t="n">
        <f aca="false">(IFERROR(('Balance Sheet'!F20)/('Income Statement'!F7),0)*365)</f>
        <v>0</v>
      </c>
      <c r="G18" s="49" t="n">
        <f aca="false">(IFERROR(('Balance Sheet'!G20)/('Income Statement'!G7),0)*365)</f>
        <v>0</v>
      </c>
      <c r="H18" s="49" t="n">
        <f aca="false">(IFERROR(('Balance Sheet'!H20)/('Income Statement'!H7),0)*365)</f>
        <v>0</v>
      </c>
      <c r="I18" s="49" t="n">
        <f aca="false">(IFERROR(('Balance Sheet'!I20)/('Income Statement'!I7),0)*365)</f>
        <v>0</v>
      </c>
      <c r="J18" s="49" t="n">
        <f aca="false">(IFERROR(('Balance Sheet'!J20)/('Income Statement'!J7),0)*365)</f>
        <v>29.9355279086001</v>
      </c>
      <c r="K18" s="49" t="n">
        <f aca="false">(IFERROR(('Balance Sheet'!K20)/('Income Statement'!K7),0)*365)</f>
        <v>35.0669770040329</v>
      </c>
      <c r="L18" s="50" t="n">
        <v>38</v>
      </c>
      <c r="M18" s="50" t="n">
        <v>38</v>
      </c>
      <c r="N18" s="50" t="n">
        <v>38</v>
      </c>
      <c r="O18" s="50" t="n">
        <v>38</v>
      </c>
      <c r="P18" s="50" t="n">
        <v>38</v>
      </c>
      <c r="Q18" s="50" t="n">
        <v>38</v>
      </c>
      <c r="R18" s="50" t="n">
        <v>38</v>
      </c>
      <c r="S18" s="50" t="n">
        <v>38</v>
      </c>
      <c r="T18" s="50" t="n">
        <v>38</v>
      </c>
      <c r="U18" s="50" t="n">
        <v>38</v>
      </c>
    </row>
    <row r="19" customFormat="false" ht="15" hidden="false" customHeight="false" outlineLevel="0" collapsed="false">
      <c r="A19" s="32" t="s">
        <v>169</v>
      </c>
      <c r="B19" s="19" t="n">
        <f aca="false">IFERROR(('Balance Sheet'!B9)/('Income Statement'!B6),0)</f>
        <v>0.133819602304076</v>
      </c>
      <c r="C19" s="19" t="n">
        <f aca="false">IFERROR(('Balance Sheet'!C9)/('Income Statement'!C6),0)</f>
        <v>0.138208819630491</v>
      </c>
      <c r="D19" s="19" t="n">
        <f aca="false">IFERROR(('Balance Sheet'!D9)/('Income Statement'!D6),0)</f>
        <v>0.136409605207129</v>
      </c>
      <c r="E19" s="19" t="n">
        <f aca="false">IFERROR(('Balance Sheet'!E9)/('Income Statement'!E6),0)</f>
        <v>0.15599917383347</v>
      </c>
      <c r="F19" s="19" t="n">
        <f aca="false">IFERROR(('Balance Sheet'!F9)/('Income Statement'!F6),0)</f>
        <v>0.209802696532149</v>
      </c>
      <c r="G19" s="19" t="n">
        <f aca="false">IFERROR(('Balance Sheet'!G9)/('Income Statement'!G6),0)</f>
        <v>0.150924184418922</v>
      </c>
      <c r="H19" s="19" t="n">
        <f aca="false">IFERROR(('Balance Sheet'!H9)/('Income Statement'!H6),0)</f>
        <v>0.104481668328881</v>
      </c>
      <c r="I19" s="19" t="n">
        <f aca="false">IFERROR(('Balance Sheet'!I9)/('Income Statement'!I6),0)</f>
        <v>0.0896953643240343</v>
      </c>
      <c r="J19" s="19" t="n">
        <f aca="false">IFERROR(('Balance Sheet'!J9)/('Income Statement'!J6),0)</f>
        <v>0.0826934491068079</v>
      </c>
      <c r="K19" s="19" t="n">
        <f aca="false">IFERROR(('Balance Sheet'!K9)/('Income Statement'!K6),0)</f>
        <v>0.0970294721436111</v>
      </c>
      <c r="L19" s="48" t="n">
        <v>0.0898060951914844</v>
      </c>
      <c r="M19" s="48" t="n">
        <v>0.0898060951914844</v>
      </c>
      <c r="N19" s="48" t="n">
        <v>0.0898060951914844</v>
      </c>
      <c r="O19" s="48" t="n">
        <v>0.0898060951914844</v>
      </c>
      <c r="P19" s="48" t="n">
        <v>0.0898060951914844</v>
      </c>
      <c r="Q19" s="48" t="n">
        <v>0.0898060951914844</v>
      </c>
      <c r="R19" s="48" t="n">
        <v>0.0898060951914844</v>
      </c>
      <c r="S19" s="48" t="n">
        <v>0.0898060951914844</v>
      </c>
      <c r="T19" s="48" t="n">
        <v>0.0898060951914844</v>
      </c>
      <c r="U19" s="48" t="n">
        <v>0.0898060951914844</v>
      </c>
    </row>
    <row r="20" customFormat="false" ht="15" hidden="false" customHeight="false" outlineLevel="0" collapsed="false">
      <c r="A20" s="32" t="s">
        <v>170</v>
      </c>
      <c r="B20" s="19" t="n">
        <f aca="false">IFERROR(('Balance Sheet'!B21)/('Income Statement'!B6),0)</f>
        <v>0.156043786277063</v>
      </c>
      <c r="C20" s="19" t="n">
        <f aca="false">IFERROR(('Balance Sheet'!C21)/('Income Statement'!C6),0)</f>
        <v>0.161792107385537</v>
      </c>
      <c r="D20" s="19" t="n">
        <f aca="false">IFERROR(('Balance Sheet'!D21)/('Income Statement'!D6),0)</f>
        <v>0.158962680211692</v>
      </c>
      <c r="E20" s="19" t="n">
        <f aca="false">IFERROR(('Balance Sheet'!E21)/('Income Statement'!E6),0)</f>
        <v>0.808716630617502</v>
      </c>
      <c r="F20" s="19" t="n">
        <f aca="false">IFERROR(('Balance Sheet'!F21)/('Income Statement'!F6),0)</f>
        <v>0.17241685178329</v>
      </c>
      <c r="G20" s="19" t="n">
        <f aca="false">IFERROR(('Balance Sheet'!G21)/('Income Statement'!G6),0)</f>
        <v>0.141542278602585</v>
      </c>
      <c r="H20" s="19" t="n">
        <f aca="false">IFERROR(('Balance Sheet'!H21)/('Income Statement'!H6),0)</f>
        <v>0.12398659551906</v>
      </c>
      <c r="I20" s="19" t="n">
        <f aca="false">IFERROR(('Balance Sheet'!I21)/('Income Statement'!I6),0)</f>
        <v>0.108364289287126</v>
      </c>
      <c r="J20" s="19" t="n">
        <f aca="false">IFERROR(('Balance Sheet'!J21)/('Income Statement'!J6),0)</f>
        <v>0.0462525846809469</v>
      </c>
      <c r="K20" s="19" t="n">
        <f aca="false">IFERROR(('Balance Sheet'!K21)/('Income Statement'!K6),0)</f>
        <v>0.0484198381903945</v>
      </c>
      <c r="L20" s="48" t="n">
        <v>0.0676789040528223</v>
      </c>
      <c r="M20" s="48" t="n">
        <v>0.0676789040528223</v>
      </c>
      <c r="N20" s="48" t="n">
        <v>0.0676789040528223</v>
      </c>
      <c r="O20" s="48" t="n">
        <v>0.0676789040528223</v>
      </c>
      <c r="P20" s="48" t="n">
        <v>0.0676789040528223</v>
      </c>
      <c r="Q20" s="48" t="n">
        <v>0.0676789040528223</v>
      </c>
      <c r="R20" s="48" t="n">
        <v>0.0676789040528223</v>
      </c>
      <c r="S20" s="48" t="n">
        <v>0.0676789040528223</v>
      </c>
      <c r="T20" s="48" t="n">
        <v>0.0676789040528223</v>
      </c>
      <c r="U20" s="48" t="n">
        <v>0.0676789040528223</v>
      </c>
    </row>
    <row r="21" customFormat="false" ht="15" hidden="false" customHeight="false" outlineLevel="0" collapsed="false">
      <c r="A21" s="28" t="s">
        <v>171</v>
      </c>
      <c r="B21" s="29"/>
      <c r="C21" s="29"/>
      <c r="D21" s="29"/>
      <c r="E21" s="29"/>
      <c r="F21" s="29"/>
      <c r="G21" s="29"/>
      <c r="H21" s="29"/>
      <c r="I21" s="29"/>
      <c r="J21" s="29"/>
      <c r="K21" s="29"/>
      <c r="L21" s="29"/>
      <c r="M21" s="29"/>
      <c r="N21" s="29"/>
      <c r="O21" s="29"/>
      <c r="P21" s="29"/>
      <c r="Q21" s="29"/>
      <c r="R21" s="29"/>
      <c r="S21" s="29"/>
      <c r="T21" s="29"/>
      <c r="U21" s="29"/>
    </row>
    <row r="22" customFormat="false" ht="15" hidden="false" customHeight="false" outlineLevel="0" collapsed="false">
      <c r="A22" s="32" t="s">
        <v>172</v>
      </c>
      <c r="B22" s="19" t="n">
        <f aca="false">IFERROR(('Income Statement'!B17)/('Income Statement'!B16),0)</f>
        <v>0.33703125</v>
      </c>
      <c r="C22" s="19" t="n">
        <f aca="false">IFERROR(('Income Statement'!C17)/('Income Statement'!C16),0)</f>
        <v>0.406995772535115</v>
      </c>
      <c r="D22" s="19" t="n">
        <f aca="false">IFERROR(('Income Statement'!D17)/('Income Statement'!D16),0)</f>
        <v>0.424467264201342</v>
      </c>
      <c r="E22" s="19" t="n">
        <f aca="false">IFERROR(('Income Statement'!E17)/('Income Statement'!E16),0)</f>
        <v>0.255409418752652</v>
      </c>
      <c r="F22" s="19" t="n">
        <f aca="false">IFERROR(('Income Statement'!F17)/('Income Statement'!F16),0)</f>
        <v>0.286348989356508</v>
      </c>
      <c r="G22" s="19" t="n">
        <f aca="false">IFERROR(('Income Statement'!G17)/('Income Statement'!G16),0)</f>
        <v>0.0484625067433915</v>
      </c>
      <c r="H22" s="19" t="n">
        <f aca="false">IFERROR(('Income Statement'!H17)/('Income Statement'!H16),0)</f>
        <v>0.194613001974387</v>
      </c>
      <c r="I22" s="19" t="n">
        <f aca="false">IFERROR(('Income Statement'!I17)/('Income Statement'!I16),0)</f>
        <v>0.225959611209737</v>
      </c>
      <c r="J22" s="19" t="n">
        <f aca="false">IFERROR(('Income Statement'!J17)/('Income Statement'!J16),0)</f>
        <v>0.237971365790692</v>
      </c>
      <c r="K22" s="19" t="n">
        <f aca="false">IFERROR(('Income Statement'!K17)/('Income Statement'!K16),0)</f>
        <v>0.2310908212906</v>
      </c>
      <c r="L22" s="48" t="n">
        <v>0.24</v>
      </c>
      <c r="M22" s="48" t="n">
        <v>0.24</v>
      </c>
      <c r="N22" s="48" t="n">
        <v>0.24</v>
      </c>
      <c r="O22" s="48" t="n">
        <v>0.24</v>
      </c>
      <c r="P22" s="48" t="n">
        <v>0.24</v>
      </c>
      <c r="Q22" s="48" t="n">
        <v>0.24</v>
      </c>
      <c r="R22" s="48" t="n">
        <v>0.24</v>
      </c>
      <c r="S22" s="48" t="n">
        <v>0.24</v>
      </c>
      <c r="T22" s="48" t="n">
        <v>0.24</v>
      </c>
      <c r="U22" s="48" t="n">
        <v>0.24</v>
      </c>
    </row>
    <row r="23" customFormat="false" ht="15" hidden="false" customHeight="false" outlineLevel="0" collapsed="false">
      <c r="A23" s="32" t="s">
        <v>173</v>
      </c>
      <c r="B23" s="19" t="n">
        <f aca="false">IFERROR(('Income Statement'!B14)/(AVERAGE(0,'Balance Sheet'!B19)),0)</f>
        <v>0.23255220299178</v>
      </c>
      <c r="C23" s="19" t="n">
        <f aca="false">IFERROR(('Income Statement'!C14)/(AVERAGE('Balance Sheet'!B19,'Balance Sheet'!C19)),0)</f>
        <v>0.111802035318002</v>
      </c>
      <c r="D23" s="19" t="n">
        <f aca="false">IFERROR(('Income Statement'!D14)/(AVERAGE('Balance Sheet'!C19,'Balance Sheet'!D19)),0)</f>
        <v>0.114367017852908</v>
      </c>
      <c r="E23" s="19" t="n">
        <f aca="false">IFERROR(('Income Statement'!E14)/(AVERAGE('Balance Sheet'!D19,'Balance Sheet'!E19)),0)</f>
        <v>0.663500780974455</v>
      </c>
      <c r="F23" s="19" t="n">
        <f aca="false">IFERROR(('Income Statement'!F14)/(AVERAGE('Balance Sheet'!E19,'Balance Sheet'!F19)),0)</f>
        <v>0.159828643396244</v>
      </c>
      <c r="G23" s="19" t="n">
        <f aca="false">IFERROR(('Income Statement'!G14)/(AVERAGE('Balance Sheet'!F19,'Balance Sheet'!G19)),0)</f>
        <v>0.0844948426256244</v>
      </c>
      <c r="H23" s="19" t="n">
        <f aca="false">IFERROR(('Income Statement'!H14)/(AVERAGE('Balance Sheet'!G19,'Balance Sheet'!H19)),0)</f>
        <v>0.0890124598726808</v>
      </c>
      <c r="I23" s="19" t="n">
        <f aca="false">IFERROR(('Income Statement'!I14)/(AVERAGE('Balance Sheet'!H19,'Balance Sheet'!I19)),0)</f>
        <v>0.11827322253194</v>
      </c>
      <c r="J23" s="19" t="n">
        <f aca="false">IFERROR(('Income Statement'!J14)/(AVERAGE('Balance Sheet'!I19,'Balance Sheet'!J19)),0)</f>
        <v>0.100296227237869</v>
      </c>
      <c r="K23" s="19" t="n">
        <f aca="false">IFERROR(('Income Statement'!K14)/(AVERAGE('Balance Sheet'!J19,'Balance Sheet'!K19)),0)</f>
        <v>0.0970023591000408</v>
      </c>
      <c r="L23" s="48" t="n">
        <v>0.085</v>
      </c>
      <c r="M23" s="48" t="n">
        <v>0.085</v>
      </c>
      <c r="N23" s="48" t="n">
        <v>0.085</v>
      </c>
      <c r="O23" s="48" t="n">
        <v>0.085</v>
      </c>
      <c r="P23" s="48" t="n">
        <v>0.085</v>
      </c>
      <c r="Q23" s="48" t="n">
        <v>0.085</v>
      </c>
      <c r="R23" s="48" t="n">
        <v>0.085</v>
      </c>
      <c r="S23" s="48" t="n">
        <v>0.085</v>
      </c>
      <c r="T23" s="48" t="n">
        <v>0.085</v>
      </c>
      <c r="U23" s="48" t="n">
        <v>0.085</v>
      </c>
    </row>
    <row r="24" customFormat="false" ht="15" hidden="false" customHeight="false" outlineLevel="0" collapsed="false">
      <c r="A24" s="32" t="s">
        <v>174</v>
      </c>
      <c r="B24" s="15" t="n">
        <f aca="false">0</f>
        <v>0</v>
      </c>
      <c r="C24" s="15" t="n">
        <f aca="false">0</f>
        <v>0</v>
      </c>
      <c r="D24" s="15" t="n">
        <f aca="false">0</f>
        <v>0</v>
      </c>
      <c r="E24" s="15" t="n">
        <f aca="false">0</f>
        <v>0</v>
      </c>
      <c r="F24" s="15" t="n">
        <f aca="false">0</f>
        <v>0</v>
      </c>
      <c r="G24" s="15" t="n">
        <f aca="false">0</f>
        <v>0</v>
      </c>
      <c r="H24" s="15" t="n">
        <f aca="false">0</f>
        <v>0</v>
      </c>
      <c r="I24" s="15" t="n">
        <f aca="false">0</f>
        <v>0</v>
      </c>
      <c r="J24" s="15" t="n">
        <f aca="false">0</f>
        <v>0</v>
      </c>
      <c r="K24" s="15" t="n">
        <f aca="false">0</f>
        <v>0</v>
      </c>
      <c r="L24" s="48" t="n">
        <v>0.065</v>
      </c>
      <c r="M24" s="48" t="n">
        <v>0.065</v>
      </c>
      <c r="N24" s="48" t="n">
        <v>0.065</v>
      </c>
      <c r="O24" s="48" t="n">
        <v>0.065</v>
      </c>
      <c r="P24" s="48" t="n">
        <v>0.065</v>
      </c>
      <c r="Q24" s="48" t="n">
        <v>0.065</v>
      </c>
      <c r="R24" s="48" t="n">
        <v>0.065</v>
      </c>
      <c r="S24" s="48" t="n">
        <v>0.065</v>
      </c>
      <c r="T24" s="48" t="n">
        <v>0.065</v>
      </c>
      <c r="U24" s="48" t="n">
        <v>0.065</v>
      </c>
    </row>
    <row r="25" customFormat="false" ht="15" hidden="false" customHeight="false" outlineLevel="0" collapsed="false">
      <c r="A25" s="32" t="s">
        <v>175</v>
      </c>
      <c r="B25" s="19" t="n">
        <f aca="false">(IFERROR(('Balance Sheet'!B17)/(0),0)-1)</f>
        <v>-1</v>
      </c>
      <c r="C25" s="19" t="n">
        <f aca="false">(IFERROR(('Balance Sheet'!C17)/('Balance Sheet'!B17),0)-1)</f>
        <v>-0.00079134119569102</v>
      </c>
      <c r="D25" s="19" t="n">
        <f aca="false">(IFERROR(('Balance Sheet'!D17)/('Balance Sheet'!C17),0)-1)</f>
        <v>0.262396852566231</v>
      </c>
      <c r="E25" s="19" t="n">
        <f aca="false">(IFERROR(('Balance Sheet'!E17)/('Balance Sheet'!D17),0)-1)</f>
        <v>-0.393410774274497</v>
      </c>
      <c r="F25" s="19" t="n">
        <f aca="false">(IFERROR(('Balance Sheet'!F17)/('Balance Sheet'!E17),0)-1)</f>
        <v>8.88733569093214</v>
      </c>
      <c r="G25" s="19" t="n">
        <f aca="false">(IFERROR(('Balance Sheet'!G17)/('Balance Sheet'!F17),0)-1)</f>
        <v>0.594450049432621</v>
      </c>
      <c r="H25" s="19" t="n">
        <f aca="false">(IFERROR(('Balance Sheet'!H17)/('Balance Sheet'!G17),0)-1)</f>
        <v>-0.0552804442412852</v>
      </c>
      <c r="I25" s="19" t="n">
        <f aca="false">(IFERROR(('Balance Sheet'!I17)/('Balance Sheet'!H17),0)-1)</f>
        <v>-0.607317422840682</v>
      </c>
      <c r="J25" s="19" t="n">
        <f aca="false">(IFERROR(('Balance Sheet'!J17)/('Balance Sheet'!I17),0)-1)</f>
        <v>0.276213783307378</v>
      </c>
      <c r="K25" s="19" t="n">
        <f aca="false">(IFERROR(('Balance Sheet'!K17)/('Balance Sheet'!J17),0)-1)</f>
        <v>0.144851353707106</v>
      </c>
      <c r="L25" s="48" t="n">
        <v>0</v>
      </c>
      <c r="M25" s="48" t="n">
        <v>0</v>
      </c>
      <c r="N25" s="48" t="n">
        <v>0</v>
      </c>
      <c r="O25" s="48" t="n">
        <v>0</v>
      </c>
      <c r="P25" s="48" t="n">
        <v>0</v>
      </c>
      <c r="Q25" s="48" t="n">
        <v>0</v>
      </c>
      <c r="R25" s="48" t="n">
        <v>0</v>
      </c>
      <c r="S25" s="48" t="n">
        <v>0</v>
      </c>
      <c r="T25" s="48" t="n">
        <v>0</v>
      </c>
      <c r="U25" s="48" t="n">
        <v>0</v>
      </c>
    </row>
    <row r="26" customFormat="false" ht="15" hidden="false" customHeight="false" outlineLevel="0" collapsed="false">
      <c r="A26" s="32" t="s">
        <v>176</v>
      </c>
      <c r="B26" s="51" t="n">
        <f aca="false">0</f>
        <v>0</v>
      </c>
      <c r="C26" s="51" t="n">
        <f aca="false">0</f>
        <v>0</v>
      </c>
      <c r="D26" s="51" t="n">
        <f aca="false">0</f>
        <v>0</v>
      </c>
      <c r="E26" s="51" t="n">
        <f aca="false">0</f>
        <v>0</v>
      </c>
      <c r="F26" s="51" t="n">
        <f aca="false">0</f>
        <v>0</v>
      </c>
      <c r="G26" s="51" t="n">
        <f aca="false">0</f>
        <v>0</v>
      </c>
      <c r="H26" s="51" t="n">
        <f aca="false">0</f>
        <v>0</v>
      </c>
      <c r="I26" s="51" t="n">
        <f aca="false">0</f>
        <v>0</v>
      </c>
      <c r="J26" s="51" t="n">
        <f aca="false">0</f>
        <v>0</v>
      </c>
      <c r="K26" s="51" t="n">
        <f aca="false">0</f>
        <v>0</v>
      </c>
      <c r="L26" s="52" t="n">
        <v>1354.45</v>
      </c>
      <c r="M26" s="52" t="n">
        <v>700</v>
      </c>
      <c r="N26" s="52" t="n">
        <v>506.8</v>
      </c>
      <c r="O26" s="52" t="n">
        <v>0</v>
      </c>
      <c r="P26" s="52" t="n">
        <v>0</v>
      </c>
      <c r="Q26" s="52" t="n">
        <v>0</v>
      </c>
      <c r="R26" s="52" t="n">
        <v>0</v>
      </c>
      <c r="S26" s="52" t="n">
        <v>0</v>
      </c>
      <c r="T26" s="52" t="n">
        <v>0</v>
      </c>
      <c r="U26" s="52" t="n">
        <v>0</v>
      </c>
    </row>
    <row r="27" customFormat="false" ht="15" hidden="false" customHeight="false" outlineLevel="0" collapsed="false">
      <c r="A27" s="32" t="s">
        <v>177</v>
      </c>
      <c r="B27" s="51" t="n">
        <f aca="false">0</f>
        <v>0</v>
      </c>
      <c r="C27" s="51" t="n">
        <f aca="false">0</f>
        <v>0</v>
      </c>
      <c r="D27" s="51" t="n">
        <f aca="false">0</f>
        <v>0</v>
      </c>
      <c r="E27" s="51" t="n">
        <f aca="false">0</f>
        <v>0</v>
      </c>
      <c r="F27" s="51" t="n">
        <f aca="false">0</f>
        <v>0</v>
      </c>
      <c r="G27" s="51" t="n">
        <f aca="false">0</f>
        <v>0</v>
      </c>
      <c r="H27" s="51" t="n">
        <f aca="false">0</f>
        <v>0</v>
      </c>
      <c r="I27" s="51" t="n">
        <f aca="false">0</f>
        <v>0</v>
      </c>
      <c r="J27" s="51" t="n">
        <f aca="false">0</f>
        <v>0</v>
      </c>
      <c r="K27" s="51" t="n">
        <f aca="false">0</f>
        <v>0</v>
      </c>
      <c r="L27" s="52" t="n">
        <v>0</v>
      </c>
      <c r="M27" s="52" t="n">
        <v>0</v>
      </c>
      <c r="N27" s="52" t="n">
        <v>0</v>
      </c>
      <c r="O27" s="52" t="n">
        <v>0</v>
      </c>
      <c r="P27" s="52" t="n">
        <v>0</v>
      </c>
      <c r="Q27" s="52" t="n">
        <v>0</v>
      </c>
      <c r="R27" s="52" t="n">
        <v>0</v>
      </c>
      <c r="S27" s="52" t="n">
        <v>0</v>
      </c>
      <c r="T27" s="52" t="n">
        <v>0</v>
      </c>
      <c r="U27" s="52" t="n">
        <v>0</v>
      </c>
    </row>
    <row r="28" customFormat="false" ht="15" hidden="false" customHeight="false" outlineLevel="0" collapsed="false">
      <c r="A28" s="32" t="s">
        <v>178</v>
      </c>
      <c r="B28" s="19" t="n">
        <f aca="false">IFERROR((Schedules!B22)/('Income Statement'!B18),0)</f>
        <v>0.391586141880745</v>
      </c>
      <c r="C28" s="19" t="n">
        <f aca="false">IFERROR((Schedules!C22)/('Income Statement'!C18),0)</f>
        <v>0.439346901230309</v>
      </c>
      <c r="D28" s="19" t="n">
        <f aca="false">IFERROR((Schedules!D22)/('Income Statement'!D18),0)</f>
        <v>0.445544554455446</v>
      </c>
      <c r="E28" s="19" t="n">
        <f aca="false">IFERROR((Schedules!E22)/('Income Statement'!E18),0)</f>
        <v>0.289377289377289</v>
      </c>
      <c r="F28" s="19" t="n">
        <f aca="false">IFERROR((Schedules!F22)/('Income Statement'!F18),0)</f>
        <v>-0.145925976602586</v>
      </c>
      <c r="G28" s="19" t="n">
        <f aca="false">IFERROR((Schedules!G22)/('Income Statement'!G18),0)</f>
        <v>0.571104601719739</v>
      </c>
      <c r="H28" s="19" t="n">
        <f aca="false">IFERROR((Schedules!H22)/('Income Statement'!H18),0)</f>
        <v>0.175899062141556</v>
      </c>
      <c r="I28" s="19" t="n">
        <f aca="false">IFERROR((Schedules!I22)/('Income Statement'!I18),0)</f>
        <v>0.0765133171912833</v>
      </c>
      <c r="J28" s="19" t="n">
        <f aca="false">IFERROR((Schedules!J22)/('Income Statement'!J18),0)</f>
        <v>0.114920606185994</v>
      </c>
      <c r="K28" s="19" t="n">
        <f aca="false">IFERROR((Schedules!K22)/('Income Statement'!K18),0)</f>
        <v>0.0826912453115459</v>
      </c>
      <c r="L28" s="48" t="n">
        <v>0.08</v>
      </c>
      <c r="M28" s="48" t="n">
        <v>0.08</v>
      </c>
      <c r="N28" s="48" t="n">
        <v>0.08</v>
      </c>
      <c r="O28" s="48" t="n">
        <v>0.08</v>
      </c>
      <c r="P28" s="48" t="n">
        <v>0.08</v>
      </c>
      <c r="Q28" s="48" t="n">
        <v>0.08</v>
      </c>
      <c r="R28" s="48" t="n">
        <v>0.08</v>
      </c>
      <c r="S28" s="48" t="n">
        <v>0.08</v>
      </c>
      <c r="T28" s="48" t="n">
        <v>0.08</v>
      </c>
      <c r="U28" s="48" t="n">
        <v>0.08</v>
      </c>
    </row>
    <row r="29" customFormat="false" ht="15" hidden="false" customHeight="false" outlineLevel="0" collapsed="false">
      <c r="A29" s="32" t="s">
        <v>179</v>
      </c>
      <c r="B29" s="51" t="n">
        <f aca="false">0</f>
        <v>0</v>
      </c>
      <c r="C29" s="51" t="n">
        <f aca="false">0</f>
        <v>0</v>
      </c>
      <c r="D29" s="51" t="n">
        <f aca="false">0</f>
        <v>0</v>
      </c>
      <c r="E29" s="51" t="n">
        <f aca="false">0</f>
        <v>0</v>
      </c>
      <c r="F29" s="51" t="n">
        <f aca="false">0</f>
        <v>0</v>
      </c>
      <c r="G29" s="51" t="n">
        <f aca="false">0</f>
        <v>0</v>
      </c>
      <c r="H29" s="51" t="n">
        <f aca="false">0</f>
        <v>0</v>
      </c>
      <c r="I29" s="51" t="n">
        <f aca="false">0</f>
        <v>0</v>
      </c>
      <c r="J29" s="51" t="n">
        <f aca="false">0</f>
        <v>0</v>
      </c>
      <c r="K29" s="51" t="n">
        <f aca="false">0</f>
        <v>0</v>
      </c>
      <c r="L29" s="52" t="n">
        <v>600</v>
      </c>
      <c r="M29" s="52" t="n">
        <v>600</v>
      </c>
      <c r="N29" s="52" t="n">
        <v>600</v>
      </c>
      <c r="O29" s="52" t="n">
        <v>600</v>
      </c>
      <c r="P29" s="52" t="n">
        <v>600</v>
      </c>
      <c r="Q29" s="52" t="n">
        <v>600</v>
      </c>
      <c r="R29" s="52" t="n">
        <v>600</v>
      </c>
      <c r="S29" s="52" t="n">
        <v>600</v>
      </c>
      <c r="T29" s="52" t="n">
        <v>600</v>
      </c>
      <c r="U29" s="52" t="n">
        <v>600</v>
      </c>
    </row>
  </sheetData>
  <sheetProtection sheet="true" formatColumns="false" formatRows="false"/>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2" min="3" style="0" width="13"/>
  </cols>
  <sheetData>
    <row r="1" customFormat="false" ht="17.35" hidden="false" customHeight="false" outlineLevel="0" collapsed="false">
      <c r="A1" s="1" t="s">
        <v>180</v>
      </c>
    </row>
    <row r="2" customFormat="false" ht="15" hidden="false" customHeight="false" outlineLevel="0" collapsed="false">
      <c r="A2" s="2" t="s">
        <v>107</v>
      </c>
    </row>
    <row r="4" customFormat="false" ht="15" hidden="false" customHeight="false" outlineLevel="0" collapsed="false">
      <c r="A4" s="5" t="s">
        <v>108</v>
      </c>
      <c r="B4" s="27" t="s">
        <v>109</v>
      </c>
      <c r="C4" s="27" t="s">
        <v>110</v>
      </c>
      <c r="D4" s="27" t="s">
        <v>111</v>
      </c>
      <c r="E4" s="27" t="s">
        <v>62</v>
      </c>
      <c r="F4" s="27" t="s">
        <v>66</v>
      </c>
      <c r="G4" s="27" t="s">
        <v>112</v>
      </c>
      <c r="H4" s="27" t="s">
        <v>113</v>
      </c>
      <c r="I4" s="27" t="s">
        <v>114</v>
      </c>
      <c r="J4" s="27" t="s">
        <v>64</v>
      </c>
      <c r="K4" s="27" t="s">
        <v>5</v>
      </c>
      <c r="L4" s="27" t="s">
        <v>6</v>
      </c>
      <c r="M4" s="27" t="s">
        <v>7</v>
      </c>
      <c r="N4" s="27" t="s">
        <v>69</v>
      </c>
      <c r="O4" s="27" t="s">
        <v>115</v>
      </c>
      <c r="P4" s="27" t="s">
        <v>116</v>
      </c>
      <c r="Q4" s="27" t="s">
        <v>117</v>
      </c>
      <c r="R4" s="27" t="s">
        <v>118</v>
      </c>
      <c r="S4" s="27" t="s">
        <v>119</v>
      </c>
      <c r="T4" s="27" t="s">
        <v>55</v>
      </c>
      <c r="U4" s="27" t="s">
        <v>57</v>
      </c>
    </row>
    <row r="5" customFormat="false" ht="15" hidden="false" customHeight="false" outlineLevel="0" collapsed="false">
      <c r="A5" s="28" t="s">
        <v>181</v>
      </c>
      <c r="B5" s="29"/>
      <c r="C5" s="29"/>
      <c r="D5" s="29"/>
      <c r="E5" s="29"/>
      <c r="F5" s="29"/>
      <c r="G5" s="29"/>
      <c r="H5" s="29"/>
      <c r="I5" s="29"/>
      <c r="J5" s="29"/>
      <c r="K5" s="29"/>
      <c r="L5" s="29"/>
      <c r="M5" s="29"/>
      <c r="N5" s="29"/>
      <c r="O5" s="29"/>
      <c r="P5" s="29"/>
      <c r="Q5" s="29"/>
      <c r="R5" s="29"/>
      <c r="S5" s="29"/>
      <c r="T5" s="29"/>
      <c r="U5" s="29"/>
    </row>
    <row r="6" customFormat="false" ht="15" hidden="false" customHeight="false" outlineLevel="0" collapsed="false">
      <c r="A6" s="6" t="s">
        <v>9</v>
      </c>
      <c r="B6" s="53" t="n">
        <v>1812.44</v>
      </c>
      <c r="C6" s="53" t="n">
        <v>2157.46</v>
      </c>
      <c r="D6" s="53" t="n">
        <v>2630.24</v>
      </c>
      <c r="E6" s="53" t="n">
        <v>3485.98</v>
      </c>
      <c r="F6" s="53" t="n">
        <v>2592.96</v>
      </c>
      <c r="G6" s="53" t="n">
        <v>4498.02</v>
      </c>
      <c r="H6" s="53" t="n">
        <v>8242.02</v>
      </c>
      <c r="I6" s="53" t="n">
        <v>12375.11</v>
      </c>
      <c r="J6" s="53" t="n">
        <v>17134.61</v>
      </c>
      <c r="K6" s="53" t="n">
        <v>20074.21</v>
      </c>
      <c r="L6" s="31" t="n">
        <f aca="false">(K6*(1+Drivers!L6))</f>
        <v>24085.037158</v>
      </c>
      <c r="M6" s="31" t="n">
        <f aca="false">(L6*(1+Drivers!M6))</f>
        <v>27931.4175921326</v>
      </c>
      <c r="N6" s="31" t="n">
        <f aca="false">(M6*(1+Drivers!N6))</f>
        <v>32299.8913035421</v>
      </c>
      <c r="O6" s="31" t="n">
        <f aca="false">(N6*(1+Drivers!O6))</f>
        <v>36993.0655099468</v>
      </c>
      <c r="P6" s="31" t="n">
        <f aca="false">(O6*(1+Drivers!P6))</f>
        <v>42016.7238061976</v>
      </c>
      <c r="Q6" s="31" t="n">
        <f aca="false">(P6*(1+Drivers!Q6))</f>
        <v>47193.1841791211</v>
      </c>
      <c r="R6" s="31" t="n">
        <f aca="false">(Q6*(1+Drivers!R6))</f>
        <v>52587.3651307947</v>
      </c>
      <c r="S6" s="31" t="n">
        <f aca="false">(R6*(1+Drivers!S6))</f>
        <v>57988.0875297273</v>
      </c>
      <c r="T6" s="31" t="n">
        <f aca="false">(S6*(1+Drivers!T6))</f>
        <v>63676.7189163935</v>
      </c>
      <c r="U6" s="31" t="n">
        <f aca="false">(T6*(1+Drivers!U6))</f>
        <v>69732.3748853426</v>
      </c>
    </row>
    <row r="7" customFormat="false" ht="15" hidden="false" customHeight="false" outlineLevel="0" collapsed="false">
      <c r="A7" s="32" t="s">
        <v>182</v>
      </c>
      <c r="B7" s="54" t="n">
        <v>1074.27</v>
      </c>
      <c r="C7" s="54" t="n">
        <v>1252.06</v>
      </c>
      <c r="D7" s="54" t="n">
        <v>1789.17</v>
      </c>
      <c r="E7" s="54" t="n">
        <v>2185.68</v>
      </c>
      <c r="F7" s="54" t="n">
        <v>1350.69</v>
      </c>
      <c r="G7" s="54" t="n">
        <v>3558.25</v>
      </c>
      <c r="H7" s="54" t="n">
        <v>6058.63</v>
      </c>
      <c r="I7" s="54" t="n">
        <v>7782.06</v>
      </c>
      <c r="J7" s="54" t="n">
        <v>11317.3</v>
      </c>
      <c r="K7" s="54" t="n">
        <v>12601.34</v>
      </c>
      <c r="L7" s="34" t="n">
        <f aca="false">(L6*(1-Drivers!L7))</f>
        <v>13728.47118006</v>
      </c>
      <c r="M7" s="34" t="n">
        <f aca="false">(M6*(1-Drivers!M7))</f>
        <v>15920.9080275156</v>
      </c>
      <c r="N7" s="34" t="n">
        <f aca="false">(N6*(1-Drivers!N7))</f>
        <v>18410.938043019</v>
      </c>
      <c r="O7" s="34" t="n">
        <f aca="false">(O6*(1-Drivers!O7))</f>
        <v>21086.0473406697</v>
      </c>
      <c r="P7" s="34" t="n">
        <f aca="false">(P6*(1-Drivers!P7))</f>
        <v>23949.5325695326</v>
      </c>
      <c r="Q7" s="34" t="n">
        <f aca="false">(Q6*(1-Drivers!Q7))</f>
        <v>26900.114982099</v>
      </c>
      <c r="R7" s="34" t="n">
        <f aca="false">(R6*(1-Drivers!R7))</f>
        <v>29974.798124553</v>
      </c>
      <c r="S7" s="34" t="n">
        <f aca="false">(S6*(1-Drivers!S7))</f>
        <v>33053.2098919446</v>
      </c>
      <c r="T7" s="34" t="n">
        <f aca="false">(T6*(1-Drivers!T7))</f>
        <v>36295.7297823443</v>
      </c>
      <c r="U7" s="34" t="n">
        <f aca="false">(U6*(1-Drivers!U7))</f>
        <v>39747.4536846453</v>
      </c>
    </row>
    <row r="8" customFormat="false" ht="15" hidden="false" customHeight="false" outlineLevel="0" collapsed="false">
      <c r="A8" s="8" t="s">
        <v>183</v>
      </c>
      <c r="B8" s="55" t="n">
        <f aca="false">(B6-B7)</f>
        <v>738.17</v>
      </c>
      <c r="C8" s="55" t="n">
        <f aca="false">(C6-C7)</f>
        <v>905.4</v>
      </c>
      <c r="D8" s="55" t="n">
        <f aca="false">(D6-D7)</f>
        <v>841.07</v>
      </c>
      <c r="E8" s="55" t="n">
        <f aca="false">(E6-E7)</f>
        <v>1300.3</v>
      </c>
      <c r="F8" s="55" t="n">
        <f aca="false">(F6-F7)</f>
        <v>1242.27</v>
      </c>
      <c r="G8" s="55" t="n">
        <f aca="false">(G6-G7)</f>
        <v>939.77</v>
      </c>
      <c r="H8" s="55" t="n">
        <f aca="false">(H6-H7)</f>
        <v>2183.39</v>
      </c>
      <c r="I8" s="55" t="n">
        <f aca="false">(I6-I7)</f>
        <v>4593.05</v>
      </c>
      <c r="J8" s="55" t="n">
        <f aca="false">(J6-J7)</f>
        <v>5817.31</v>
      </c>
      <c r="K8" s="55" t="n">
        <f aca="false">(K6-K7)</f>
        <v>7472.87</v>
      </c>
      <c r="L8" s="56" t="n">
        <f aca="false">(L6-L7)</f>
        <v>10356.56597794</v>
      </c>
      <c r="M8" s="56" t="n">
        <f aca="false">(M6-M7)</f>
        <v>12010.509564617</v>
      </c>
      <c r="N8" s="56" t="n">
        <f aca="false">(N6-N7)</f>
        <v>13888.9532605231</v>
      </c>
      <c r="O8" s="56" t="n">
        <f aca="false">(O6-O7)</f>
        <v>15907.0181692771</v>
      </c>
      <c r="P8" s="56" t="n">
        <f aca="false">(P6-P7)</f>
        <v>18067.191236665</v>
      </c>
      <c r="Q8" s="56" t="n">
        <f aca="false">(Q6-Q7)</f>
        <v>20293.0691970221</v>
      </c>
      <c r="R8" s="56" t="n">
        <f aca="false">(R6-R7)</f>
        <v>22612.5670062417</v>
      </c>
      <c r="S8" s="56" t="n">
        <f aca="false">(S6-S7)</f>
        <v>24934.8776377827</v>
      </c>
      <c r="T8" s="56" t="n">
        <f aca="false">(T6-T7)</f>
        <v>27380.9891340492</v>
      </c>
      <c r="U8" s="56" t="n">
        <f aca="false">(U6-U7)</f>
        <v>29984.9212006973</v>
      </c>
    </row>
    <row r="9" customFormat="false" ht="15" hidden="false" customHeight="false" outlineLevel="0" collapsed="false">
      <c r="A9" s="32" t="s">
        <v>184</v>
      </c>
      <c r="B9" s="51" t="n">
        <f aca="false">(B8-B10)</f>
        <v>604.64</v>
      </c>
      <c r="C9" s="51" t="n">
        <f aca="false">(C8-C10)</f>
        <v>696.9</v>
      </c>
      <c r="D9" s="51" t="n">
        <f aca="false">(D8-D10)</f>
        <v>600.43</v>
      </c>
      <c r="E9" s="51" t="n">
        <f aca="false">(E8-E10)</f>
        <v>771.33</v>
      </c>
      <c r="F9" s="51" t="n">
        <f aca="false">(F8-F10)</f>
        <v>1128.4</v>
      </c>
      <c r="G9" s="51" t="n">
        <f aca="false">(G8-G10)</f>
        <v>345.05</v>
      </c>
      <c r="H9" s="51" t="n">
        <f aca="false">(H8-H10)</f>
        <v>1069.24</v>
      </c>
      <c r="I9" s="51" t="n">
        <f aca="false">(I8-I10)</f>
        <v>2622.36</v>
      </c>
      <c r="J9" s="51" t="n">
        <f aca="false">(J8-J10)</f>
        <v>2997.35</v>
      </c>
      <c r="K9" s="51" t="n">
        <f aca="false">(K8-K10)</f>
        <v>3727.52</v>
      </c>
      <c r="L9" s="57" t="n">
        <f aca="false">(L8-L10)</f>
        <v>5659.98373213</v>
      </c>
      <c r="M9" s="57" t="n">
        <f aca="false">(M8-M10)</f>
        <v>6480.08888137476</v>
      </c>
      <c r="N9" s="57" t="n">
        <f aca="false">(N8-N10)</f>
        <v>7428.97499981469</v>
      </c>
      <c r="O9" s="57" t="n">
        <f aca="false">(O8-O10)</f>
        <v>8508.40506728776</v>
      </c>
      <c r="P9" s="57" t="n">
        <f aca="false">(P8-P10)</f>
        <v>9663.84647542544</v>
      </c>
      <c r="Q9" s="57" t="n">
        <f aca="false">(Q8-Q10)</f>
        <v>10854.4323611979</v>
      </c>
      <c r="R9" s="57" t="n">
        <f aca="false">(R8-R10)</f>
        <v>12095.0939800828</v>
      </c>
      <c r="S9" s="57" t="n">
        <f aca="false">(S8-S10)</f>
        <v>13337.2601318373</v>
      </c>
      <c r="T9" s="57" t="n">
        <f aca="false">(T8-T10)</f>
        <v>14645.6453507705</v>
      </c>
      <c r="U9" s="57" t="n">
        <f aca="false">(U8-U10)</f>
        <v>16038.4462236288</v>
      </c>
    </row>
    <row r="10" customFormat="false" ht="15" hidden="false" customHeight="false" outlineLevel="0" collapsed="false">
      <c r="A10" s="6" t="s">
        <v>11</v>
      </c>
      <c r="B10" s="58" t="n">
        <v>133.53</v>
      </c>
      <c r="C10" s="58" t="n">
        <v>208.5</v>
      </c>
      <c r="D10" s="58" t="n">
        <v>240.64</v>
      </c>
      <c r="E10" s="58" t="n">
        <v>528.97</v>
      </c>
      <c r="F10" s="58" t="n">
        <v>113.87</v>
      </c>
      <c r="G10" s="58" t="n">
        <v>594.72</v>
      </c>
      <c r="H10" s="58" t="n">
        <v>1114.15</v>
      </c>
      <c r="I10" s="58" t="n">
        <v>1970.69</v>
      </c>
      <c r="J10" s="58" t="n">
        <v>2819.96</v>
      </c>
      <c r="K10" s="58" t="n">
        <v>3745.35</v>
      </c>
      <c r="L10" s="59" t="n">
        <f aca="false">(L6*Drivers!L8)</f>
        <v>4696.58224581</v>
      </c>
      <c r="M10" s="59" t="n">
        <f aca="false">(M6*Drivers!M8)</f>
        <v>5530.42068324226</v>
      </c>
      <c r="N10" s="59" t="n">
        <f aca="false">(N6*Drivers!N8)</f>
        <v>6459.97826070843</v>
      </c>
      <c r="O10" s="59" t="n">
        <f aca="false">(O6*Drivers!O8)</f>
        <v>7398.61310198936</v>
      </c>
      <c r="P10" s="59" t="n">
        <f aca="false">(P6*Drivers!P8)</f>
        <v>8403.34476123952</v>
      </c>
      <c r="Q10" s="59" t="n">
        <f aca="false">(Q6*Drivers!Q8)</f>
        <v>9438.63683582423</v>
      </c>
      <c r="R10" s="59" t="n">
        <f aca="false">(R6*Drivers!R8)</f>
        <v>10517.4730261589</v>
      </c>
      <c r="S10" s="59" t="n">
        <f aca="false">(S6*Drivers!S8)</f>
        <v>11597.6175059455</v>
      </c>
      <c r="T10" s="59" t="n">
        <f aca="false">(T6*Drivers!T8)</f>
        <v>12735.3437832787</v>
      </c>
      <c r="U10" s="59" t="n">
        <f aca="false">(U6*Drivers!U8)</f>
        <v>13946.4749770685</v>
      </c>
    </row>
    <row r="11" customFormat="false" ht="15" hidden="false" customHeight="false" outlineLevel="0" collapsed="false">
      <c r="A11" s="32" t="s">
        <v>185</v>
      </c>
      <c r="B11" s="54" t="n">
        <v>41.29</v>
      </c>
      <c r="C11" s="54" t="n">
        <v>45.53</v>
      </c>
      <c r="D11" s="54" t="n">
        <v>51.67</v>
      </c>
      <c r="E11" s="54" t="n">
        <v>247.24</v>
      </c>
      <c r="F11" s="54" t="n">
        <v>257.3</v>
      </c>
      <c r="G11" s="54" t="n">
        <v>310.82</v>
      </c>
      <c r="H11" s="54" t="n">
        <v>493.69</v>
      </c>
      <c r="I11" s="54" t="n">
        <v>671.11</v>
      </c>
      <c r="J11" s="54" t="n">
        <v>895.18</v>
      </c>
      <c r="K11" s="54" t="n">
        <v>1361.19</v>
      </c>
      <c r="L11" s="34" t="n">
        <f aca="false">MIN((Drivers!L12*'Balance Sheet'!K10),('Balance Sheet'!K10+Schedules!L7))</f>
        <v>1587.73909303768</v>
      </c>
      <c r="M11" s="34" t="n">
        <f aca="false">MIN((Drivers!M12*'Balance Sheet'!L10),('Balance Sheet'!L10+Schedules!M7))</f>
        <v>1948.59930183469</v>
      </c>
      <c r="N11" s="34" t="n">
        <f aca="false">MIN((Drivers!N12*'Balance Sheet'!M10),('Balance Sheet'!M10+Schedules!N7))</f>
        <v>2279.96822214892</v>
      </c>
      <c r="O11" s="34" t="n">
        <f aca="false">MIN((Drivers!O12*'Balance Sheet'!N10),('Balance Sheet'!N10+Schedules!O7))</f>
        <v>2590.45948204787</v>
      </c>
      <c r="P11" s="34" t="n">
        <f aca="false">MIN((Drivers!P12*'Balance Sheet'!O10),('Balance Sheet'!O10+Schedules!P7))</f>
        <v>2866.90274526398</v>
      </c>
      <c r="Q11" s="34" t="n">
        <f aca="false">MIN((Drivers!Q12*'Balance Sheet'!P10),('Balance Sheet'!P10+Schedules!Q7))</f>
        <v>3117.94526327006</v>
      </c>
      <c r="R11" s="34" t="n">
        <f aca="false">MIN((Drivers!R12*'Balance Sheet'!Q10),('Balance Sheet'!Q10+Schedules!R7))</f>
        <v>3334.26536860862</v>
      </c>
      <c r="S11" s="34" t="n">
        <f aca="false">MIN((Drivers!S12*'Balance Sheet'!R10),('Balance Sheet'!R10+Schedules!S7))</f>
        <v>3539.95955149912</v>
      </c>
      <c r="T11" s="34" t="n">
        <f aca="false">MIN((Drivers!T12*'Balance Sheet'!S10),('Balance Sheet'!S10+Schedules!T7))</f>
        <v>3722.701352058</v>
      </c>
      <c r="U11" s="34" t="n">
        <f aca="false">MIN((Drivers!U12*'Balance Sheet'!T10),('Balance Sheet'!T10+Schedules!U7))</f>
        <v>3897.42576660707</v>
      </c>
    </row>
    <row r="12" customFormat="false" ht="15" hidden="false" customHeight="false" outlineLevel="0" collapsed="false">
      <c r="A12" s="6" t="s">
        <v>123</v>
      </c>
      <c r="B12" s="60" t="n">
        <f aca="false">(B10-B11)</f>
        <v>92.24</v>
      </c>
      <c r="C12" s="60" t="n">
        <f aca="false">(C10-C11)</f>
        <v>162.97</v>
      </c>
      <c r="D12" s="60" t="n">
        <f aca="false">(D10-D11)</f>
        <v>188.97</v>
      </c>
      <c r="E12" s="60" t="n">
        <f aca="false">(E10-E11)</f>
        <v>281.73</v>
      </c>
      <c r="F12" s="60" t="n">
        <f aca="false">(F10-F11)</f>
        <v>-143.43</v>
      </c>
      <c r="G12" s="60" t="n">
        <f aca="false">(G10-G11)</f>
        <v>283.9</v>
      </c>
      <c r="H12" s="60" t="n">
        <f aca="false">(H10-H11)</f>
        <v>620.46</v>
      </c>
      <c r="I12" s="60" t="n">
        <f aca="false">(I10-I11)</f>
        <v>1299.58</v>
      </c>
      <c r="J12" s="60" t="n">
        <f aca="false">(J10-J11)</f>
        <v>1924.78</v>
      </c>
      <c r="K12" s="60" t="n">
        <f aca="false">(K10-K11)</f>
        <v>2384.16</v>
      </c>
      <c r="L12" s="61" t="n">
        <f aca="false">(L10-L11)</f>
        <v>3108.84315277232</v>
      </c>
      <c r="M12" s="61" t="n">
        <f aca="false">(M10-M11)</f>
        <v>3581.82138140756</v>
      </c>
      <c r="N12" s="61" t="n">
        <f aca="false">(N10-N11)</f>
        <v>4180.01003855951</v>
      </c>
      <c r="O12" s="61" t="n">
        <f aca="false">(O10-O11)</f>
        <v>4808.1536199415</v>
      </c>
      <c r="P12" s="61" t="n">
        <f aca="false">(P10-P11)</f>
        <v>5536.44201597553</v>
      </c>
      <c r="Q12" s="61" t="n">
        <f aca="false">(Q10-Q11)</f>
        <v>6320.69157255416</v>
      </c>
      <c r="R12" s="61" t="n">
        <f aca="false">(R10-R11)</f>
        <v>7183.20765755031</v>
      </c>
      <c r="S12" s="61" t="n">
        <f aca="false">(S10-S11)</f>
        <v>8057.65795444634</v>
      </c>
      <c r="T12" s="61" t="n">
        <f aca="false">(T10-T11)</f>
        <v>9012.64243122071</v>
      </c>
      <c r="U12" s="61" t="n">
        <f aca="false">(U10-U11)</f>
        <v>10049.0492104614</v>
      </c>
    </row>
    <row r="13" customFormat="false" ht="15" hidden="false" customHeight="false" outlineLevel="0" collapsed="false">
      <c r="A13" s="32" t="s">
        <v>186</v>
      </c>
      <c r="B13" s="54" t="n">
        <v>81.31</v>
      </c>
      <c r="C13" s="54" t="n">
        <v>27.47</v>
      </c>
      <c r="D13" s="54" t="n">
        <v>30.14</v>
      </c>
      <c r="E13" s="54" t="n">
        <v>146.63</v>
      </c>
      <c r="F13" s="54" t="n">
        <v>199.4</v>
      </c>
      <c r="G13" s="54" t="n">
        <v>152.16</v>
      </c>
      <c r="H13" s="54" t="n">
        <v>340.6</v>
      </c>
      <c r="I13" s="54" t="n">
        <v>988.91</v>
      </c>
      <c r="J13" s="54" t="n">
        <v>305.06</v>
      </c>
      <c r="K13" s="54" t="n">
        <v>85.05</v>
      </c>
      <c r="L13" s="34" t="n">
        <f aca="false">((L6*Drivers!L9)+(Drivers!L24*AVERAGE('Balance Sheet'!K6,'Balance Sheet'!L6)))</f>
        <v>100.952611474004</v>
      </c>
      <c r="M13" s="34" t="n">
        <f aca="false">((M6*Drivers!M9)+(Drivers!M24*AVERAGE('Balance Sheet'!L6,'Balance Sheet'!M6)))</f>
        <v>122.794252776419</v>
      </c>
      <c r="N13" s="34" t="n">
        <f aca="false">((N6*Drivers!N9)+(Drivers!N24*AVERAGE('Balance Sheet'!M6,'Balance Sheet'!N6)))</f>
        <v>159.279492605623</v>
      </c>
      <c r="O13" s="34" t="n">
        <f aca="false">((O6*Drivers!O9)+(Drivers!O24*AVERAGE('Balance Sheet'!N6,'Balance Sheet'!O6)))</f>
        <v>267.091642331358</v>
      </c>
      <c r="P13" s="34" t="n">
        <f aca="false">((P6*Drivers!P9)+(Drivers!P24*AVERAGE('Balance Sheet'!O6,'Balance Sheet'!P6)))</f>
        <v>445.370309090862</v>
      </c>
      <c r="Q13" s="34" t="n">
        <f aca="false">((Q6*Drivers!Q9)+(Drivers!Q24*AVERAGE('Balance Sheet'!P6,'Balance Sheet'!Q6)))</f>
        <v>673.080005778415</v>
      </c>
      <c r="R13" s="34" t="n">
        <f aca="false">((R6*Drivers!R9)+(Drivers!R24*AVERAGE('Balance Sheet'!Q6,'Balance Sheet'!R6)))</f>
        <v>954.470083002536</v>
      </c>
      <c r="S13" s="34" t="n">
        <f aca="false">((S6*Drivers!S9)+(Drivers!S24*AVERAGE('Balance Sheet'!R6,'Balance Sheet'!S6)))</f>
        <v>1292.56396281233</v>
      </c>
      <c r="T13" s="34" t="n">
        <f aca="false">((T6*Drivers!T9)+(Drivers!T24*AVERAGE('Balance Sheet'!S6,'Balance Sheet'!T6)))</f>
        <v>1692.50056056492</v>
      </c>
      <c r="U13" s="34" t="n">
        <f aca="false">((U6*Drivers!U9)+(Drivers!U24*AVERAGE('Balance Sheet'!T6,'Balance Sheet'!U6)))</f>
        <v>2158.82329601923</v>
      </c>
    </row>
    <row r="14" customFormat="false" ht="15" hidden="false" customHeight="false" outlineLevel="0" collapsed="false">
      <c r="A14" s="32" t="s">
        <v>187</v>
      </c>
      <c r="B14" s="54" t="n">
        <v>45.55</v>
      </c>
      <c r="C14" s="54" t="n">
        <v>43.78</v>
      </c>
      <c r="D14" s="54" t="n">
        <v>50.64</v>
      </c>
      <c r="E14" s="54" t="n">
        <v>263.37</v>
      </c>
      <c r="F14" s="54" t="n">
        <v>260.79</v>
      </c>
      <c r="G14" s="54" t="n">
        <v>324.84</v>
      </c>
      <c r="H14" s="54" t="n">
        <v>408.99</v>
      </c>
      <c r="I14" s="54" t="n">
        <v>367.66</v>
      </c>
      <c r="J14" s="54" t="n">
        <v>200.1</v>
      </c>
      <c r="K14" s="54" t="n">
        <v>232.73</v>
      </c>
      <c r="L14" s="34" t="n">
        <f aca="false">(Drivers!L23*AVERAGE('Balance Sheet'!K19,'Balance Sheet'!L19))</f>
        <v>186.647901186434</v>
      </c>
      <c r="M14" s="34" t="n">
        <f aca="false">(Drivers!M23*AVERAGE('Balance Sheet'!L19,'Balance Sheet'!M19))</f>
        <v>112.533242228175</v>
      </c>
      <c r="N14" s="34" t="n">
        <f aca="false">(Drivers!N23*AVERAGE('Balance Sheet'!M19,'Balance Sheet'!N19))</f>
        <v>34.7384660417411</v>
      </c>
      <c r="O14" s="34" t="n">
        <f aca="false">(Drivers!O23*AVERAGE('Balance Sheet'!N19,'Balance Sheet'!O19))</f>
        <v>0</v>
      </c>
      <c r="P14" s="34" t="n">
        <f aca="false">(Drivers!P23*AVERAGE('Balance Sheet'!O19,'Balance Sheet'!P19))</f>
        <v>0</v>
      </c>
      <c r="Q14" s="34" t="n">
        <f aca="false">(Drivers!Q23*AVERAGE('Balance Sheet'!P19,'Balance Sheet'!Q19))</f>
        <v>0</v>
      </c>
      <c r="R14" s="34" t="n">
        <f aca="false">(Drivers!R23*AVERAGE('Balance Sheet'!Q19,'Balance Sheet'!R19))</f>
        <v>0</v>
      </c>
      <c r="S14" s="34" t="n">
        <f aca="false">(Drivers!S23*AVERAGE('Balance Sheet'!R19,'Balance Sheet'!S19))</f>
        <v>0</v>
      </c>
      <c r="T14" s="34" t="n">
        <f aca="false">(Drivers!T23*AVERAGE('Balance Sheet'!S19,'Balance Sheet'!T19))</f>
        <v>0</v>
      </c>
      <c r="U14" s="34" t="n">
        <f aca="false">(Drivers!U23*AVERAGE('Balance Sheet'!T19,'Balance Sheet'!U19))</f>
        <v>0</v>
      </c>
    </row>
    <row r="15" customFormat="false" ht="15" hidden="false" customHeight="false" outlineLevel="0" collapsed="false">
      <c r="A15" s="32" t="s">
        <v>188</v>
      </c>
      <c r="B15" s="54" t="n">
        <v>0</v>
      </c>
      <c r="C15" s="54" t="n">
        <v>0</v>
      </c>
      <c r="D15" s="54" t="n">
        <v>0</v>
      </c>
      <c r="E15" s="54" t="n">
        <v>0</v>
      </c>
      <c r="F15" s="54" t="n">
        <v>0</v>
      </c>
      <c r="G15" s="54" t="n">
        <v>0</v>
      </c>
      <c r="H15" s="54" t="n">
        <v>0</v>
      </c>
      <c r="I15" s="54" t="n">
        <v>0</v>
      </c>
      <c r="J15" s="54" t="n">
        <v>0</v>
      </c>
      <c r="K15" s="54" t="n">
        <v>0</v>
      </c>
      <c r="L15" s="57" t="n">
        <f aca="false">0</f>
        <v>0</v>
      </c>
      <c r="M15" s="57" t="n">
        <f aca="false">0</f>
        <v>0</v>
      </c>
      <c r="N15" s="57" t="n">
        <f aca="false">0</f>
        <v>0</v>
      </c>
      <c r="O15" s="57" t="n">
        <f aca="false">0</f>
        <v>0</v>
      </c>
      <c r="P15" s="57" t="n">
        <f aca="false">0</f>
        <v>0</v>
      </c>
      <c r="Q15" s="57" t="n">
        <f aca="false">0</f>
        <v>0</v>
      </c>
      <c r="R15" s="57" t="n">
        <f aca="false">0</f>
        <v>0</v>
      </c>
      <c r="S15" s="57" t="n">
        <f aca="false">0</f>
        <v>0</v>
      </c>
      <c r="T15" s="57" t="n">
        <f aca="false">0</f>
        <v>0</v>
      </c>
      <c r="U15" s="57" t="n">
        <f aca="false">0</f>
        <v>0</v>
      </c>
    </row>
    <row r="16" customFormat="false" ht="15" hidden="false" customHeight="false" outlineLevel="0" collapsed="false">
      <c r="A16" s="6" t="s">
        <v>189</v>
      </c>
      <c r="B16" s="58" t="n">
        <v>128</v>
      </c>
      <c r="C16" s="58" t="n">
        <v>146.66</v>
      </c>
      <c r="D16" s="58" t="n">
        <v>168.47</v>
      </c>
      <c r="E16" s="58" t="n">
        <v>164.99</v>
      </c>
      <c r="F16" s="58" t="n">
        <v>-204.82</v>
      </c>
      <c r="G16" s="58" t="n">
        <v>111.22</v>
      </c>
      <c r="H16" s="58" t="n">
        <v>552.07</v>
      </c>
      <c r="I16" s="58" t="n">
        <v>1920.83</v>
      </c>
      <c r="J16" s="58" t="n">
        <v>2029.74</v>
      </c>
      <c r="K16" s="58" t="n">
        <v>2236.48</v>
      </c>
      <c r="L16" s="61" t="n">
        <f aca="false">(((L12+L13)-L14)+L15)</f>
        <v>3023.14786305989</v>
      </c>
      <c r="M16" s="61" t="n">
        <f aca="false">(((M12+M13)-M14)+M15)</f>
        <v>3592.08239195581</v>
      </c>
      <c r="N16" s="61" t="n">
        <f aca="false">(((N12+N13)-N14)+N15)</f>
        <v>4304.55106512339</v>
      </c>
      <c r="O16" s="61" t="n">
        <f aca="false">(((O12+O13)-O14)+O15)</f>
        <v>5075.24526227286</v>
      </c>
      <c r="P16" s="61" t="n">
        <f aca="false">(((P12+P13)-P14)+P15)</f>
        <v>5981.8123250664</v>
      </c>
      <c r="Q16" s="61" t="n">
        <f aca="false">(((Q12+Q13)-Q14)+Q15)</f>
        <v>6993.77157833258</v>
      </c>
      <c r="R16" s="61" t="n">
        <f aca="false">(((R12+R13)-R14)+R15)</f>
        <v>8137.67774055285</v>
      </c>
      <c r="S16" s="61" t="n">
        <f aca="false">(((S12+S13)-S14)+S15)</f>
        <v>9350.22191725867</v>
      </c>
      <c r="T16" s="61" t="n">
        <f aca="false">(((T12+T13)-T14)+T15)</f>
        <v>10705.1429917856</v>
      </c>
      <c r="U16" s="61" t="n">
        <f aca="false">(((U12+U13)-U14)+U15)</f>
        <v>12207.8725064807</v>
      </c>
    </row>
    <row r="17" customFormat="false" ht="15" hidden="false" customHeight="false" outlineLevel="0" collapsed="false">
      <c r="A17" s="32" t="s">
        <v>190</v>
      </c>
      <c r="B17" s="54" t="n">
        <v>43.14</v>
      </c>
      <c r="C17" s="54" t="n">
        <v>59.69</v>
      </c>
      <c r="D17" s="54" t="n">
        <v>71.51</v>
      </c>
      <c r="E17" s="54" t="n">
        <v>42.14</v>
      </c>
      <c r="F17" s="54" t="n">
        <v>-58.65</v>
      </c>
      <c r="G17" s="54" t="n">
        <v>5.39</v>
      </c>
      <c r="H17" s="54" t="n">
        <v>107.44</v>
      </c>
      <c r="I17" s="54" t="n">
        <v>434.03</v>
      </c>
      <c r="J17" s="54" t="n">
        <v>483.02</v>
      </c>
      <c r="K17" s="54" t="n">
        <v>516.83</v>
      </c>
      <c r="L17" s="34" t="n">
        <f aca="false">(L16*Drivers!L22)</f>
        <v>725.555487134374</v>
      </c>
      <c r="M17" s="34" t="n">
        <f aca="false">(M16*Drivers!M22)</f>
        <v>862.099774069393</v>
      </c>
      <c r="N17" s="34" t="n">
        <f aca="false">(N16*Drivers!N22)</f>
        <v>1033.09225562961</v>
      </c>
      <c r="O17" s="34" t="n">
        <f aca="false">(O16*Drivers!O22)</f>
        <v>1218.05886294549</v>
      </c>
      <c r="P17" s="34" t="n">
        <f aca="false">(P16*Drivers!P22)</f>
        <v>1435.63495801594</v>
      </c>
      <c r="Q17" s="34" t="n">
        <f aca="false">(Q16*Drivers!Q22)</f>
        <v>1678.50517879982</v>
      </c>
      <c r="R17" s="34" t="n">
        <f aca="false">(R16*Drivers!R22)</f>
        <v>1953.04265773268</v>
      </c>
      <c r="S17" s="34" t="n">
        <f aca="false">(S16*Drivers!S22)</f>
        <v>2244.05326014208</v>
      </c>
      <c r="T17" s="34" t="n">
        <f aca="false">(T16*Drivers!T22)</f>
        <v>2569.23431802855</v>
      </c>
      <c r="U17" s="34" t="n">
        <f aca="false">(U16*Drivers!U22)</f>
        <v>2929.88940155536</v>
      </c>
    </row>
    <row r="18" customFormat="false" ht="15" hidden="false" customHeight="false" outlineLevel="0" collapsed="false">
      <c r="A18" s="6" t="s">
        <v>13</v>
      </c>
      <c r="B18" s="58" t="n">
        <v>84.86</v>
      </c>
      <c r="C18" s="58" t="n">
        <v>86.97</v>
      </c>
      <c r="D18" s="58" t="n">
        <v>96.96</v>
      </c>
      <c r="E18" s="58" t="n">
        <v>122.85</v>
      </c>
      <c r="F18" s="58" t="n">
        <v>-146.17</v>
      </c>
      <c r="G18" s="58" t="n">
        <v>105.83</v>
      </c>
      <c r="H18" s="58" t="n">
        <v>444.63</v>
      </c>
      <c r="I18" s="58" t="n">
        <v>1486.8</v>
      </c>
      <c r="J18" s="58" t="n">
        <v>1546.72</v>
      </c>
      <c r="K18" s="58" t="n">
        <v>1719.65</v>
      </c>
      <c r="L18" s="61" t="n">
        <f aca="false">(L16-L17)</f>
        <v>2297.59237592552</v>
      </c>
      <c r="M18" s="61" t="n">
        <f aca="false">(M16-M17)</f>
        <v>2729.98261788641</v>
      </c>
      <c r="N18" s="61" t="n">
        <f aca="false">(N16-N17)</f>
        <v>3271.45880949378</v>
      </c>
      <c r="O18" s="61" t="n">
        <f aca="false">(O16-O17)</f>
        <v>3857.18639932737</v>
      </c>
      <c r="P18" s="61" t="n">
        <f aca="false">(P16-P17)</f>
        <v>4546.17736705046</v>
      </c>
      <c r="Q18" s="61" t="n">
        <f aca="false">(Q16-Q17)</f>
        <v>5315.26639953276</v>
      </c>
      <c r="R18" s="61" t="n">
        <f aca="false">(R16-R17)</f>
        <v>6184.63508282016</v>
      </c>
      <c r="S18" s="61" t="n">
        <f aca="false">(S16-S17)</f>
        <v>7106.16865711659</v>
      </c>
      <c r="T18" s="61" t="n">
        <f aca="false">(T16-T17)</f>
        <v>8135.90867375708</v>
      </c>
      <c r="U18" s="61" t="n">
        <f aca="false">(U16-U17)</f>
        <v>9277.98310492531</v>
      </c>
    </row>
    <row r="19" customFormat="false" ht="15" hidden="false" customHeight="false" outlineLevel="0" collapsed="false">
      <c r="A19" s="8" t="s">
        <v>124</v>
      </c>
      <c r="B19" s="35" t="n">
        <f aca="false">IFERROR((B18)/(Schedules!B23),0)</f>
        <v>2.55358795809046</v>
      </c>
      <c r="C19" s="35" t="n">
        <f aca="false">IFERROR((C18)/(Schedules!C23),0)</f>
        <v>2.6170816016395</v>
      </c>
      <c r="D19" s="35" t="n">
        <f aca="false">IFERROR((D18)/(Schedules!D23),0)</f>
        <v>2.9176984258361</v>
      </c>
      <c r="E19" s="35" t="n">
        <f aca="false">IFERROR((E18)/(Schedules!E23),0)</f>
        <v>3.45581809424215</v>
      </c>
      <c r="F19" s="35" t="n">
        <f aca="false">IFERROR((F18)/(Schedules!F23),0)</f>
        <v>-4.11181872881868</v>
      </c>
      <c r="G19" s="35" t="n">
        <f aca="false">IFERROR((G18)/(Schedules!G23),0)</f>
        <v>2.97703890039598</v>
      </c>
      <c r="H19" s="35" t="n">
        <f aca="false">IFERROR((H18)/(Schedules!H23),0)</f>
        <v>12.5076141574513</v>
      </c>
      <c r="I19" s="35" t="n">
        <f aca="false">IFERROR((I18)/(Schedules!I23),0)</f>
        <v>41.8242600123665</v>
      </c>
      <c r="J19" s="35" t="n">
        <f aca="false">IFERROR((J18)/(Schedules!J23),0)</f>
        <v>43.5098328264242</v>
      </c>
      <c r="K19" s="35" t="n">
        <f aca="false">IFERROR((K18)/(Schedules!K23),0)</f>
        <v>32.2495467130376</v>
      </c>
      <c r="L19" s="36" t="n">
        <f aca="false">IFERROR((L18)/(Schedules!L23),0)</f>
        <v>43.0880194544989</v>
      </c>
      <c r="M19" s="36" t="n">
        <f aca="false">IFERROR((M18)/(Schedules!M23),0)</f>
        <v>51.1968725969287</v>
      </c>
      <c r="N19" s="36" t="n">
        <f aca="false">IFERROR((N18)/(Schedules!N23),0)</f>
        <v>61.3514748329879</v>
      </c>
      <c r="O19" s="36" t="n">
        <f aca="false">IFERROR((O18)/(Schedules!O23),0)</f>
        <v>72.3359479929062</v>
      </c>
      <c r="P19" s="36" t="n">
        <f aca="false">IFERROR((P18)/(Schedules!P23),0)</f>
        <v>85.2569763407949</v>
      </c>
      <c r="Q19" s="36" t="n">
        <f aca="false">IFERROR((Q18)/(Schedules!Q23),0)</f>
        <v>99.6801279585791</v>
      </c>
      <c r="R19" s="36" t="n">
        <f aca="false">IFERROR((R18)/(Schedules!R23),0)</f>
        <v>115.98387928154</v>
      </c>
      <c r="S19" s="36" t="n">
        <f aca="false">IFERROR((S18)/(Schedules!S23),0)</f>
        <v>133.265907631439</v>
      </c>
      <c r="T19" s="36" t="n">
        <f aca="false">IFERROR((T18)/(Schedules!T23),0)</f>
        <v>152.577191188519</v>
      </c>
      <c r="U19" s="36" t="n">
        <f aca="false">IFERROR((U18)/(Schedules!U23),0)</f>
        <v>173.995144096218</v>
      </c>
    </row>
  </sheetData>
  <sheetProtection sheet="true" formatColumns="false" formatRows="false"/>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2" min="3" style="0" width="13"/>
  </cols>
  <sheetData>
    <row r="1" customFormat="false" ht="17.35" hidden="false" customHeight="false" outlineLevel="0" collapsed="false">
      <c r="A1" s="1" t="s">
        <v>191</v>
      </c>
    </row>
    <row r="2" customFormat="false" ht="15" hidden="false" customHeight="false" outlineLevel="0" collapsed="false">
      <c r="A2" s="2" t="s">
        <v>107</v>
      </c>
    </row>
    <row r="4" customFormat="false" ht="15" hidden="false" customHeight="false" outlineLevel="0" collapsed="false">
      <c r="A4" s="5" t="s">
        <v>108</v>
      </c>
      <c r="B4" s="27" t="s">
        <v>109</v>
      </c>
      <c r="C4" s="27" t="s">
        <v>110</v>
      </c>
      <c r="D4" s="27" t="s">
        <v>111</v>
      </c>
      <c r="E4" s="27" t="s">
        <v>62</v>
      </c>
      <c r="F4" s="27" t="s">
        <v>66</v>
      </c>
      <c r="G4" s="27" t="s">
        <v>112</v>
      </c>
      <c r="H4" s="27" t="s">
        <v>113</v>
      </c>
      <c r="I4" s="27" t="s">
        <v>114</v>
      </c>
      <c r="J4" s="27" t="s">
        <v>64</v>
      </c>
      <c r="K4" s="27" t="s">
        <v>5</v>
      </c>
      <c r="L4" s="27" t="s">
        <v>6</v>
      </c>
      <c r="M4" s="27" t="s">
        <v>7</v>
      </c>
      <c r="N4" s="27" t="s">
        <v>69</v>
      </c>
      <c r="O4" s="27" t="s">
        <v>115</v>
      </c>
      <c r="P4" s="27" t="s">
        <v>116</v>
      </c>
      <c r="Q4" s="27" t="s">
        <v>117</v>
      </c>
      <c r="R4" s="27" t="s">
        <v>118</v>
      </c>
      <c r="S4" s="27" t="s">
        <v>119</v>
      </c>
      <c r="T4" s="27" t="s">
        <v>55</v>
      </c>
      <c r="U4" s="27" t="s">
        <v>57</v>
      </c>
    </row>
    <row r="5" customFormat="false" ht="15" hidden="false" customHeight="false" outlineLevel="0" collapsed="false">
      <c r="A5" s="28" t="s">
        <v>192</v>
      </c>
      <c r="B5" s="29"/>
      <c r="C5" s="29"/>
      <c r="D5" s="29"/>
      <c r="E5" s="29"/>
      <c r="F5" s="29"/>
      <c r="G5" s="29"/>
      <c r="H5" s="29"/>
      <c r="I5" s="29"/>
      <c r="J5" s="29"/>
      <c r="K5" s="29"/>
      <c r="L5" s="29"/>
      <c r="M5" s="29"/>
      <c r="N5" s="29"/>
      <c r="O5" s="29"/>
      <c r="P5" s="29"/>
      <c r="Q5" s="29"/>
      <c r="R5" s="29"/>
      <c r="S5" s="29"/>
      <c r="T5" s="29"/>
      <c r="U5" s="29"/>
    </row>
    <row r="6" customFormat="false" ht="15" hidden="false" customHeight="false" outlineLevel="0" collapsed="false">
      <c r="A6" s="32" t="s">
        <v>193</v>
      </c>
      <c r="B6" s="54" t="n">
        <v>34.28</v>
      </c>
      <c r="C6" s="54" t="n">
        <v>32.81</v>
      </c>
      <c r="D6" s="54" t="n">
        <v>54.23</v>
      </c>
      <c r="E6" s="54" t="n">
        <v>61.41</v>
      </c>
      <c r="F6" s="54" t="n">
        <v>81.47</v>
      </c>
      <c r="G6" s="54" t="n">
        <v>85.97</v>
      </c>
      <c r="H6" s="54" t="n">
        <v>86.3</v>
      </c>
      <c r="I6" s="54" t="n">
        <v>297.56</v>
      </c>
      <c r="J6" s="54" t="n">
        <v>339.84</v>
      </c>
      <c r="K6" s="54" t="n">
        <v>283</v>
      </c>
      <c r="L6" s="34" t="n">
        <f aca="false">(K6+'Cash Flow'!L21)</f>
        <v>600.000000000108</v>
      </c>
      <c r="M6" s="34" t="n">
        <f aca="false">(L6+'Cash Flow'!M21)</f>
        <v>600.000000000533</v>
      </c>
      <c r="N6" s="34" t="n">
        <f aca="false">(M6+'Cash Flow'!N21)</f>
        <v>1319.37903676858</v>
      </c>
      <c r="O6" s="34" t="n">
        <f aca="false">(N6+'Cash Flow'!O21)</f>
        <v>3484.08083404735</v>
      </c>
      <c r="P6" s="34" t="n">
        <f aca="false">(O6+'Cash Flow'!P21)</f>
        <v>6341.15417125325</v>
      </c>
      <c r="Q6" s="34" t="n">
        <f aca="false">(P6+'Cash Flow'!Q21)</f>
        <v>10012.7059284714</v>
      </c>
      <c r="R6" s="34" t="n">
        <f aca="false">(Q6+'Cash Flow'!R21)</f>
        <v>14501.3859979948</v>
      </c>
      <c r="S6" s="34" t="n">
        <f aca="false">(R6+'Cash Flow'!S21)</f>
        <v>19917.0663165636</v>
      </c>
      <c r="T6" s="34" t="n">
        <f aca="false">(S6+'Cash Flow'!T21)</f>
        <v>26282.023031613</v>
      </c>
      <c r="U6" s="34" t="n">
        <f aca="false">(T6+'Cash Flow'!U21)</f>
        <v>33706.4745487931</v>
      </c>
    </row>
    <row r="7" customFormat="false" ht="15" hidden="false" customHeight="false" outlineLevel="0" collapsed="false">
      <c r="A7" s="32" t="s">
        <v>194</v>
      </c>
      <c r="B7" s="54" t="n">
        <v>5.92</v>
      </c>
      <c r="C7" s="54" t="n">
        <v>15.1</v>
      </c>
      <c r="D7" s="54" t="n">
        <v>16.54</v>
      </c>
      <c r="E7" s="54" t="n">
        <v>17.12</v>
      </c>
      <c r="F7" s="54" t="n">
        <v>20.77</v>
      </c>
      <c r="G7" s="54" t="n">
        <v>18.26</v>
      </c>
      <c r="H7" s="54" t="n">
        <v>34.39</v>
      </c>
      <c r="I7" s="54" t="n">
        <v>81.74</v>
      </c>
      <c r="J7" s="54" t="n">
        <v>62.95</v>
      </c>
      <c r="K7" s="54" t="n">
        <v>51.14</v>
      </c>
      <c r="L7" s="34" t="n">
        <f aca="false">(IFERROR((Drivers!L16)/(365),0)*'Income Statement'!L6)</f>
        <v>65.9864031726027</v>
      </c>
      <c r="M7" s="34" t="n">
        <f aca="false">(IFERROR((Drivers!M16)/(365),0)*'Income Statement'!M6)</f>
        <v>76.5244317592674</v>
      </c>
      <c r="N7" s="34" t="n">
        <f aca="false">(IFERROR((Drivers!N16)/(365),0)*'Income Statement'!N6)</f>
        <v>88.4928528864168</v>
      </c>
      <c r="O7" s="34" t="n">
        <f aca="false">(IFERROR((Drivers!O16)/(365),0)*'Income Statement'!O6)</f>
        <v>101.350864410813</v>
      </c>
      <c r="P7" s="34" t="n">
        <f aca="false">(IFERROR((Drivers!P16)/(365),0)*'Income Statement'!P6)</f>
        <v>115.114311797802</v>
      </c>
      <c r="Q7" s="34" t="n">
        <f aca="false">(IFERROR((Drivers!Q16)/(365),0)*'Income Statement'!Q6)</f>
        <v>129.296395011291</v>
      </c>
      <c r="R7" s="34" t="n">
        <f aca="false">(IFERROR((Drivers!R16)/(365),0)*'Income Statement'!R6)</f>
        <v>144.074972961081</v>
      </c>
      <c r="S7" s="34" t="n">
        <f aca="false">(IFERROR((Drivers!S16)/(365),0)*'Income Statement'!S6)</f>
        <v>158.871472684184</v>
      </c>
      <c r="T7" s="34" t="n">
        <f aca="false">(IFERROR((Drivers!T16)/(365),0)*'Income Statement'!T6)</f>
        <v>174.456764154503</v>
      </c>
      <c r="U7" s="34" t="n">
        <f aca="false">(IFERROR((Drivers!U16)/(365),0)*'Income Statement'!U6)</f>
        <v>191.047602425596</v>
      </c>
    </row>
    <row r="8" customFormat="false" ht="15" hidden="false" customHeight="false" outlineLevel="0" collapsed="false">
      <c r="A8" s="32" t="s">
        <v>195</v>
      </c>
      <c r="B8" s="54" t="n">
        <v>305.36</v>
      </c>
      <c r="C8" s="54" t="n">
        <v>344.77</v>
      </c>
      <c r="D8" s="54" t="n">
        <v>497.01</v>
      </c>
      <c r="E8" s="54" t="n">
        <v>607.81</v>
      </c>
      <c r="F8" s="54" t="n">
        <v>428.39</v>
      </c>
      <c r="G8" s="54" t="n">
        <v>867.78</v>
      </c>
      <c r="H8" s="54" t="n">
        <v>1361.16</v>
      </c>
      <c r="I8" s="54" t="n">
        <v>1582.73</v>
      </c>
      <c r="J8" s="54" t="n">
        <v>2045.05</v>
      </c>
      <c r="K8" s="54" t="n">
        <v>2289.01</v>
      </c>
      <c r="L8" s="34" t="n">
        <f aca="false">(IFERROR((Drivers!L17)/(365),0)*'Income Statement'!L7)</f>
        <v>2670.46973639523</v>
      </c>
      <c r="M8" s="34" t="n">
        <f aca="false">(IFERROR((Drivers!M17)/(365),0)*'Income Statement'!M7)</f>
        <v>3096.94375329755</v>
      </c>
      <c r="N8" s="34" t="n">
        <f aca="false">(IFERROR((Drivers!N17)/(365),0)*'Income Statement'!N7)</f>
        <v>3581.30575631329</v>
      </c>
      <c r="O8" s="34" t="n">
        <f aca="false">(IFERROR((Drivers!O17)/(365),0)*'Income Statement'!O7)</f>
        <v>4101.66948270561</v>
      </c>
      <c r="P8" s="34" t="n">
        <f aca="false">(IFERROR((Drivers!P17)/(365),0)*'Income Statement'!P7)</f>
        <v>4658.67619845703</v>
      </c>
      <c r="Q8" s="34" t="n">
        <f aca="false">(IFERROR((Drivers!Q17)/(365),0)*'Income Statement'!Q7)</f>
        <v>5232.62510610694</v>
      </c>
      <c r="R8" s="34" t="n">
        <f aca="false">(IFERROR((Drivers!R17)/(365),0)*'Income Statement'!R7)</f>
        <v>5830.71415573496</v>
      </c>
      <c r="S8" s="34" t="n">
        <f aca="false">(IFERROR((Drivers!S17)/(365),0)*'Income Statement'!S7)</f>
        <v>6429.52849952894</v>
      </c>
      <c r="T8" s="34" t="n">
        <f aca="false">(IFERROR((Drivers!T17)/(365),0)*'Income Statement'!T7)</f>
        <v>7060.26524533273</v>
      </c>
      <c r="U8" s="34" t="n">
        <f aca="false">(IFERROR((Drivers!U17)/(365),0)*'Income Statement'!U7)</f>
        <v>7731.69647016387</v>
      </c>
    </row>
    <row r="9" customFormat="false" ht="15" hidden="false" customHeight="false" outlineLevel="0" collapsed="false">
      <c r="A9" s="32" t="s">
        <v>196</v>
      </c>
      <c r="B9" s="54" t="n">
        <v>242.54</v>
      </c>
      <c r="C9" s="54" t="n">
        <v>298.18</v>
      </c>
      <c r="D9" s="54" t="n">
        <v>358.79</v>
      </c>
      <c r="E9" s="54" t="n">
        <v>543.81</v>
      </c>
      <c r="F9" s="54" t="n">
        <v>544.01</v>
      </c>
      <c r="G9" s="54" t="n">
        <v>678.86</v>
      </c>
      <c r="H9" s="54" t="n">
        <v>861.14</v>
      </c>
      <c r="I9" s="54" t="n">
        <v>1109.99</v>
      </c>
      <c r="J9" s="54" t="n">
        <v>1416.92</v>
      </c>
      <c r="K9" s="54" t="n">
        <v>1947.79</v>
      </c>
      <c r="L9" s="34" t="n">
        <f aca="false">('Income Statement'!L6*Drivers!L19)</f>
        <v>2162.98313970179</v>
      </c>
      <c r="M9" s="34" t="n">
        <f aca="false">('Income Statement'!M6*Drivers!M19)</f>
        <v>2508.41154711216</v>
      </c>
      <c r="N9" s="34" t="n">
        <f aca="false">('Income Statement'!N6*Drivers!N19)</f>
        <v>2900.7271130805</v>
      </c>
      <c r="O9" s="34" t="n">
        <f aca="false">('Income Statement'!O6*Drivers!O19)</f>
        <v>3322.2027626111</v>
      </c>
      <c r="P9" s="34" t="n">
        <f aca="false">('Income Statement'!P6*Drivers!P19)</f>
        <v>3773.35789777369</v>
      </c>
      <c r="Q9" s="34" t="n">
        <f aca="false">('Income Statement'!Q6*Drivers!Q19)</f>
        <v>4238.23559077941</v>
      </c>
      <c r="R9" s="34" t="n">
        <f aca="false">('Income Statement'!R6*Drivers!R19)</f>
        <v>4722.6659188055</v>
      </c>
      <c r="S9" s="34" t="n">
        <f aca="false">('Income Statement'!S6*Drivers!S19)</f>
        <v>5207.68370866682</v>
      </c>
      <c r="T9" s="34" t="n">
        <f aca="false">('Income Statement'!T6*Drivers!T19)</f>
        <v>5718.55748048704</v>
      </c>
      <c r="U9" s="34" t="n">
        <f aca="false">('Income Statement'!U6*Drivers!U19)</f>
        <v>6262.39229688135</v>
      </c>
    </row>
    <row r="10" customFormat="false" ht="15" hidden="false" customHeight="false" outlineLevel="0" collapsed="false">
      <c r="A10" s="32" t="s">
        <v>197</v>
      </c>
      <c r="B10" s="54" t="n">
        <v>548.71</v>
      </c>
      <c r="C10" s="54" t="n">
        <v>612.53</v>
      </c>
      <c r="D10" s="54" t="n">
        <v>662.18</v>
      </c>
      <c r="E10" s="54" t="n">
        <v>2738.43</v>
      </c>
      <c r="F10" s="54" t="n">
        <v>3053.82</v>
      </c>
      <c r="G10" s="54" t="n">
        <v>4686.71</v>
      </c>
      <c r="H10" s="54" t="n">
        <v>4526.95</v>
      </c>
      <c r="I10" s="54" t="n">
        <v>2449.92</v>
      </c>
      <c r="J10" s="54" t="n">
        <v>3895.13</v>
      </c>
      <c r="K10" s="54" t="n">
        <v>5518.74</v>
      </c>
      <c r="L10" s="34" t="n">
        <f aca="false">((K10+Schedules!L7)-'Income Statement'!L11)</f>
        <v>6773.03529160632</v>
      </c>
      <c r="M10" s="34" t="n">
        <f aca="false">((L10+Schedules!M7)-'Income Statement'!M11)</f>
        <v>7924.82334249835</v>
      </c>
      <c r="N10" s="34" t="n">
        <f aca="false">((M10+Schedules!N7)-'Income Statement'!N11)</f>
        <v>9004.04381591781</v>
      </c>
      <c r="O10" s="34" t="n">
        <f aca="false">((N10+Schedules!O7)-'Income Statement'!O11)</f>
        <v>9964.91862282484</v>
      </c>
      <c r="P10" s="34" t="n">
        <f aca="false">((O10+Schedules!P7)-'Income Statement'!P11)</f>
        <v>10837.5042963124</v>
      </c>
      <c r="Q10" s="34" t="n">
        <f aca="false">((P10+Schedules!Q7)-'Income Statement'!Q11)</f>
        <v>11589.4001357303</v>
      </c>
      <c r="R10" s="34" t="n">
        <f aca="false">((Q10+Schedules!R7)-'Income Statement'!R11)</f>
        <v>12304.3618821929</v>
      </c>
      <c r="S10" s="34" t="n">
        <f aca="false">((R10+Schedules!S7)-'Income Statement'!S11)</f>
        <v>12939.5446328341</v>
      </c>
      <c r="T10" s="34" t="n">
        <f aca="false">((S10+Schedules!T7)-'Income Statement'!T11)</f>
        <v>13546.8601670909</v>
      </c>
      <c r="U10" s="34" t="n">
        <f aca="false">((T10+Schedules!U7)-'Income Statement'!U11)</f>
        <v>14112.3063931457</v>
      </c>
    </row>
    <row r="11" customFormat="false" ht="15" hidden="false" customHeight="false" outlineLevel="0" collapsed="false">
      <c r="A11" s="32" t="s">
        <v>198</v>
      </c>
      <c r="B11" s="54" t="n">
        <v>5.48</v>
      </c>
      <c r="C11" s="54" t="n">
        <v>9.59</v>
      </c>
      <c r="D11" s="54" t="n">
        <v>87.18</v>
      </c>
      <c r="E11" s="54" t="n">
        <v>23.32</v>
      </c>
      <c r="F11" s="54" t="n">
        <v>107.98</v>
      </c>
      <c r="G11" s="54" t="n">
        <v>104.72</v>
      </c>
      <c r="H11" s="54" t="n">
        <v>101.72</v>
      </c>
      <c r="I11" s="54" t="n">
        <v>223.78</v>
      </c>
      <c r="J11" s="54" t="n">
        <v>179.5</v>
      </c>
      <c r="K11" s="54" t="n">
        <v>253.99</v>
      </c>
      <c r="L11" s="34" t="n">
        <f aca="false">('Income Statement'!L6*Drivers!L14)</f>
        <v>330.860148652683</v>
      </c>
      <c r="M11" s="34" t="n">
        <f aca="false">('Income Statement'!M6*Drivers!M14)</f>
        <v>383.698514392517</v>
      </c>
      <c r="N11" s="34" t="n">
        <f aca="false">('Income Statement'!N6*Drivers!N14)</f>
        <v>443.708962043507</v>
      </c>
      <c r="O11" s="34" t="n">
        <f aca="false">('Income Statement'!O6*Drivers!O14)</f>
        <v>508.179874228428</v>
      </c>
      <c r="P11" s="34" t="n">
        <f aca="false">('Income Statement'!P6*Drivers!P14)</f>
        <v>577.190701148649</v>
      </c>
      <c r="Q11" s="34" t="n">
        <f aca="false">('Income Statement'!Q6*Drivers!Q14)</f>
        <v>648.300595530162</v>
      </c>
      <c r="R11" s="34" t="n">
        <f aca="false">('Income Statement'!R6*Drivers!R14)</f>
        <v>722.40135359926</v>
      </c>
      <c r="S11" s="34" t="n">
        <f aca="false">('Income Statement'!S6*Drivers!S14)</f>
        <v>796.591972613904</v>
      </c>
      <c r="T11" s="34" t="n">
        <f aca="false">('Income Statement'!T6*Drivers!T14)</f>
        <v>874.737645127328</v>
      </c>
      <c r="U11" s="34" t="n">
        <f aca="false">('Income Statement'!U6*Drivers!U14)</f>
        <v>957.925195178937</v>
      </c>
    </row>
    <row r="12" customFormat="false" ht="15" hidden="false" customHeight="false" outlineLevel="0" collapsed="false">
      <c r="A12" s="32" t="s">
        <v>199</v>
      </c>
      <c r="B12" s="54" t="n">
        <v>1079.96</v>
      </c>
      <c r="C12" s="54" t="n">
        <v>1022.88</v>
      </c>
      <c r="D12" s="54" t="n">
        <v>882.83</v>
      </c>
      <c r="E12" s="54" t="n">
        <v>1514.78</v>
      </c>
      <c r="F12" s="54" t="n">
        <v>1487.29</v>
      </c>
      <c r="G12" s="54" t="n">
        <v>1283.72</v>
      </c>
      <c r="H12" s="54" t="n">
        <v>1109.87</v>
      </c>
      <c r="I12" s="54" t="n">
        <v>1416.03</v>
      </c>
      <c r="J12" s="54" t="n">
        <v>1480.25</v>
      </c>
      <c r="K12" s="54" t="n">
        <v>1384.91</v>
      </c>
      <c r="L12" s="57" t="n">
        <f aca="false">K12</f>
        <v>1384.91</v>
      </c>
      <c r="M12" s="57" t="n">
        <f aca="false">L12</f>
        <v>1384.91</v>
      </c>
      <c r="N12" s="57" t="n">
        <f aca="false">M12</f>
        <v>1384.91</v>
      </c>
      <c r="O12" s="57" t="n">
        <f aca="false">N12</f>
        <v>1384.91</v>
      </c>
      <c r="P12" s="57" t="n">
        <f aca="false">O12</f>
        <v>1384.91</v>
      </c>
      <c r="Q12" s="57" t="n">
        <f aca="false">P12</f>
        <v>1384.91</v>
      </c>
      <c r="R12" s="57" t="n">
        <f aca="false">Q12</f>
        <v>1384.91</v>
      </c>
      <c r="S12" s="57" t="n">
        <f aca="false">R12</f>
        <v>1384.91</v>
      </c>
      <c r="T12" s="57" t="n">
        <f aca="false">S12</f>
        <v>1384.91</v>
      </c>
      <c r="U12" s="57" t="n">
        <f aca="false">T12</f>
        <v>1384.91</v>
      </c>
    </row>
    <row r="13" customFormat="false" ht="15" hidden="false" customHeight="false" outlineLevel="0" collapsed="false">
      <c r="A13" s="6" t="s">
        <v>200</v>
      </c>
      <c r="B13" s="60" t="n">
        <f aca="false">((((((B6+B7)+B8)+B9)+B10)+B11)+B12)</f>
        <v>2222.25</v>
      </c>
      <c r="C13" s="60" t="n">
        <f aca="false">((((((C6+C7)+C8)+C9)+C10)+C11)+C12)</f>
        <v>2335.86</v>
      </c>
      <c r="D13" s="60" t="n">
        <f aca="false">((((((D6+D7)+D8)+D9)+D10)+D11)+D12)</f>
        <v>2558.76</v>
      </c>
      <c r="E13" s="60" t="n">
        <f aca="false">((((((E6+E7)+E8)+E9)+E10)+E11)+E12)</f>
        <v>5506.68</v>
      </c>
      <c r="F13" s="60" t="n">
        <f aca="false">((((((F6+F7)+F8)+F9)+F10)+F11)+F12)</f>
        <v>5723.73</v>
      </c>
      <c r="G13" s="60" t="n">
        <f aca="false">((((((G6+G7)+G8)+G9)+G10)+G11)+G12)</f>
        <v>7726.02</v>
      </c>
      <c r="H13" s="60" t="n">
        <f aca="false">((((((H6+H7)+H8)+H9)+H10)+H11)+H12)</f>
        <v>8081.53</v>
      </c>
      <c r="I13" s="60" t="n">
        <f aca="false">((((((I6+I7)+I8)+I9)+I10)+I11)+I12)</f>
        <v>7161.75</v>
      </c>
      <c r="J13" s="60" t="n">
        <f aca="false">((((((J6+J7)+J8)+J9)+J10)+J11)+J12)</f>
        <v>9419.64</v>
      </c>
      <c r="K13" s="60" t="n">
        <f aca="false">((((((K6+K7)+K8)+K9)+K10)+K11)+K12)</f>
        <v>11728.58</v>
      </c>
      <c r="L13" s="61" t="n">
        <f aca="false">((((((L6+L7)+L8)+L9)+L10)+L11)+L12)</f>
        <v>13988.2447195287</v>
      </c>
      <c r="M13" s="61" t="n">
        <f aca="false">((((((M6+M7)+M8)+M9)+M10)+M11)+M12)</f>
        <v>15975.3115890604</v>
      </c>
      <c r="N13" s="61" t="n">
        <f aca="false">((((((N6+N7)+N8)+N9)+N10)+N11)+N12)</f>
        <v>18722.5675370101</v>
      </c>
      <c r="O13" s="61" t="n">
        <f aca="false">((((((O6+O7)+O8)+O9)+O10)+O11)+O12)</f>
        <v>22867.3124408281</v>
      </c>
      <c r="P13" s="61" t="n">
        <f aca="false">((((((P6+P7)+P8)+P9)+P10)+P11)+P12)</f>
        <v>27687.9075767429</v>
      </c>
      <c r="Q13" s="61" t="n">
        <f aca="false">((((((Q6+Q7)+Q8)+Q9)+Q10)+Q11)+Q12)</f>
        <v>33235.4737516295</v>
      </c>
      <c r="R13" s="61" t="n">
        <f aca="false">((((((R6+R7)+R8)+R9)+R10)+R11)+R12)</f>
        <v>39610.5142812885</v>
      </c>
      <c r="S13" s="61" t="n">
        <f aca="false">((((((S6+S7)+S8)+S9)+S10)+S11)+S12)</f>
        <v>46834.1966028916</v>
      </c>
      <c r="T13" s="61" t="n">
        <f aca="false">((((((T6+T7)+T8)+T9)+T10)+T11)+T12)</f>
        <v>55041.8103338055</v>
      </c>
      <c r="U13" s="61" t="n">
        <f aca="false">((((((U6+U7)+U8)+U9)+U10)+U11)+U12)</f>
        <v>64346.7525065886</v>
      </c>
    </row>
    <row r="14" customFormat="false" ht="15" hidden="false" customHeight="false" outlineLevel="0" collapsed="false">
      <c r="A14" s="28" t="s">
        <v>201</v>
      </c>
      <c r="B14" s="29"/>
      <c r="C14" s="29"/>
      <c r="D14" s="29"/>
      <c r="E14" s="29"/>
      <c r="F14" s="29"/>
      <c r="G14" s="29"/>
      <c r="H14" s="29"/>
      <c r="I14" s="29"/>
      <c r="J14" s="29"/>
      <c r="K14" s="29"/>
      <c r="L14" s="29"/>
      <c r="M14" s="29"/>
      <c r="N14" s="29"/>
      <c r="O14" s="29"/>
      <c r="P14" s="29"/>
      <c r="Q14" s="29"/>
      <c r="R14" s="29"/>
      <c r="S14" s="29"/>
      <c r="T14" s="29"/>
      <c r="U14" s="29"/>
    </row>
    <row r="15" customFormat="false" ht="15" hidden="false" customHeight="false" outlineLevel="0" collapsed="false">
      <c r="A15" s="32" t="s">
        <v>202</v>
      </c>
      <c r="B15" s="54" t="n">
        <v>33.23</v>
      </c>
      <c r="C15" s="54" t="n">
        <v>33.23</v>
      </c>
      <c r="D15" s="54" t="n">
        <v>33.23</v>
      </c>
      <c r="E15" s="54" t="n">
        <v>35.55</v>
      </c>
      <c r="F15" s="54" t="n">
        <v>35.55</v>
      </c>
      <c r="G15" s="54" t="n">
        <v>35.55</v>
      </c>
      <c r="H15" s="54" t="n">
        <v>35.55</v>
      </c>
      <c r="I15" s="54" t="n">
        <v>35.55</v>
      </c>
      <c r="J15" s="54" t="n">
        <v>35.55</v>
      </c>
      <c r="K15" s="54" t="n">
        <v>35.55</v>
      </c>
      <c r="L15" s="57" t="n">
        <f aca="false">K15</f>
        <v>35.55</v>
      </c>
      <c r="M15" s="57" t="n">
        <f aca="false">L15</f>
        <v>35.55</v>
      </c>
      <c r="N15" s="57" t="n">
        <f aca="false">M15</f>
        <v>35.55</v>
      </c>
      <c r="O15" s="57" t="n">
        <f aca="false">N15</f>
        <v>35.55</v>
      </c>
      <c r="P15" s="57" t="n">
        <f aca="false">O15</f>
        <v>35.55</v>
      </c>
      <c r="Q15" s="57" t="n">
        <f aca="false">P15</f>
        <v>35.55</v>
      </c>
      <c r="R15" s="57" t="n">
        <f aca="false">Q15</f>
        <v>35.55</v>
      </c>
      <c r="S15" s="57" t="n">
        <f aca="false">R15</f>
        <v>35.55</v>
      </c>
      <c r="T15" s="57" t="n">
        <f aca="false">S15</f>
        <v>35.55</v>
      </c>
      <c r="U15" s="57" t="n">
        <f aca="false">T15</f>
        <v>35.55</v>
      </c>
    </row>
    <row r="16" customFormat="false" ht="15" hidden="false" customHeight="false" outlineLevel="0" collapsed="false">
      <c r="A16" s="32" t="s">
        <v>203</v>
      </c>
      <c r="B16" s="54" t="n">
        <v>1514.46</v>
      </c>
      <c r="C16" s="54" t="n">
        <v>1562.14</v>
      </c>
      <c r="D16" s="54" t="n">
        <v>1613.28</v>
      </c>
      <c r="E16" s="54" t="n">
        <v>2352.22</v>
      </c>
      <c r="F16" s="54" t="n">
        <v>2277.48</v>
      </c>
      <c r="G16" s="54" t="n">
        <v>2328.45</v>
      </c>
      <c r="H16" s="54" t="n">
        <v>2559.94</v>
      </c>
      <c r="I16" s="54" t="n">
        <v>4032.19</v>
      </c>
      <c r="J16" s="54" t="n">
        <v>5426.19</v>
      </c>
      <c r="K16" s="54" t="n">
        <v>6949.13</v>
      </c>
      <c r="L16" s="34" t="n">
        <f aca="false">(((K16+'Income Statement'!L18)-Schedules!L22)+Drivers!L27)</f>
        <v>9062.91498585148</v>
      </c>
      <c r="M16" s="34" t="n">
        <f aca="false">(((L16+'Income Statement'!M18)-Schedules!M22)+Drivers!M27)</f>
        <v>11574.498994307</v>
      </c>
      <c r="N16" s="34" t="n">
        <f aca="false">(((M16+'Income Statement'!N18)-Schedules!N22)+Drivers!N27)</f>
        <v>14584.2410990413</v>
      </c>
      <c r="O16" s="34" t="n">
        <f aca="false">(((N16+'Income Statement'!O18)-Schedules!O22)+Drivers!O27)</f>
        <v>18132.8525864225</v>
      </c>
      <c r="P16" s="34" t="n">
        <f aca="false">(((O16+'Income Statement'!P18)-Schedules!P22)+Drivers!P27)</f>
        <v>22315.3357641089</v>
      </c>
      <c r="Q16" s="34" t="n">
        <f aca="false">(((P16+'Income Statement'!Q18)-Schedules!Q22)+Drivers!Q27)</f>
        <v>27205.3808516791</v>
      </c>
      <c r="R16" s="34" t="n">
        <f aca="false">(((Q16+'Income Statement'!R18)-Schedules!R22)+Drivers!R27)</f>
        <v>32895.2451278737</v>
      </c>
      <c r="S16" s="34" t="n">
        <f aca="false">(((R16+'Income Statement'!S18)-Schedules!S22)+Drivers!S27)</f>
        <v>39432.9202924212</v>
      </c>
      <c r="T16" s="34" t="n">
        <f aca="false">(((S16+'Income Statement'!T18)-Schedules!T22)+Drivers!T27)</f>
        <v>46917.9562722781</v>
      </c>
      <c r="U16" s="34" t="n">
        <f aca="false">(((T16+'Income Statement'!U18)-Schedules!U22)+Drivers!U27)</f>
        <v>55453.7007288101</v>
      </c>
    </row>
    <row r="17" customFormat="false" ht="15" hidden="false" customHeight="false" outlineLevel="0" collapsed="false">
      <c r="A17" s="32" t="s">
        <v>204</v>
      </c>
      <c r="B17" s="54" t="n">
        <v>391.74</v>
      </c>
      <c r="C17" s="54" t="n">
        <v>391.43</v>
      </c>
      <c r="D17" s="54" t="n">
        <v>494.14</v>
      </c>
      <c r="E17" s="54" t="n">
        <v>299.74</v>
      </c>
      <c r="F17" s="54" t="n">
        <v>2963.63</v>
      </c>
      <c r="G17" s="54" t="n">
        <v>4725.36</v>
      </c>
      <c r="H17" s="54" t="n">
        <v>4464.14</v>
      </c>
      <c r="I17" s="54" t="n">
        <v>1752.99</v>
      </c>
      <c r="J17" s="54" t="n">
        <v>2237.19</v>
      </c>
      <c r="K17" s="54" t="n">
        <v>2561.25</v>
      </c>
      <c r="L17" s="34" t="n">
        <f aca="false">MAX(((K17*(1+Drivers!L25))-Drivers!L26),0)</f>
        <v>1206.8</v>
      </c>
      <c r="M17" s="34" t="n">
        <f aca="false">MAX(((L17*(1+Drivers!M25))-Drivers!M26),0)</f>
        <v>506.8</v>
      </c>
      <c r="N17" s="34" t="n">
        <f aca="false">MAX(((M17*(1+Drivers!N25))-Drivers!N26),0)</f>
        <v>0</v>
      </c>
      <c r="O17" s="34" t="n">
        <f aca="false">MAX(((N17*(1+Drivers!O25))-Drivers!O26),0)</f>
        <v>0</v>
      </c>
      <c r="P17" s="34" t="n">
        <f aca="false">MAX(((O17*(1+Drivers!P25))-Drivers!P26),0)</f>
        <v>0</v>
      </c>
      <c r="Q17" s="34" t="n">
        <f aca="false">MAX(((P17*(1+Drivers!Q25))-Drivers!Q26),0)</f>
        <v>0</v>
      </c>
      <c r="R17" s="34" t="n">
        <f aca="false">MAX(((Q17*(1+Drivers!R25))-Drivers!R26),0)</f>
        <v>0</v>
      </c>
      <c r="S17" s="34" t="n">
        <f aca="false">MAX(((R17*(1+Drivers!S25))-Drivers!S26),0)</f>
        <v>0</v>
      </c>
      <c r="T17" s="34" t="n">
        <f aca="false">MAX(((S17*(1+Drivers!T25))-Drivers!T26),0)</f>
        <v>0</v>
      </c>
      <c r="U17" s="34" t="n">
        <f aca="false">MAX(((T17*(1+Drivers!U25))-Drivers!U26),0)</f>
        <v>0</v>
      </c>
    </row>
    <row r="18" customFormat="false" ht="15" hidden="false" customHeight="false" outlineLevel="0" collapsed="false">
      <c r="A18" s="32" t="s">
        <v>205</v>
      </c>
      <c r="B18" s="54" t="n">
        <v>0</v>
      </c>
      <c r="C18" s="54" t="n">
        <v>0</v>
      </c>
      <c r="D18" s="54" t="n">
        <v>0</v>
      </c>
      <c r="E18" s="54" t="n">
        <v>0</v>
      </c>
      <c r="F18" s="54" t="n">
        <v>0</v>
      </c>
      <c r="G18" s="54" t="n">
        <v>0</v>
      </c>
      <c r="H18" s="54" t="n">
        <v>0</v>
      </c>
      <c r="I18" s="54" t="n">
        <v>0</v>
      </c>
      <c r="J18" s="54" t="n">
        <v>0</v>
      </c>
      <c r="K18" s="54" t="n">
        <v>0</v>
      </c>
      <c r="L18" s="34" t="n">
        <f aca="false">((K18+Schedules!L18)-Schedules!L19)</f>
        <v>623.665322033737</v>
      </c>
      <c r="M18" s="34" t="n">
        <f aca="false">((L18+Schedules!M18)-Schedules!M19)</f>
        <v>310.575671570379</v>
      </c>
      <c r="N18" s="34" t="n">
        <f aca="false">((M18+Schedules!N18)-Schedules!N19)</f>
        <v>0</v>
      </c>
      <c r="O18" s="34" t="n">
        <f aca="false">((N18+Schedules!O18)-Schedules!O19)</f>
        <v>0</v>
      </c>
      <c r="P18" s="34" t="n">
        <f aca="false">((O18+Schedules!P18)-Schedules!P19)</f>
        <v>0</v>
      </c>
      <c r="Q18" s="34" t="n">
        <f aca="false">((P18+Schedules!Q18)-Schedules!Q19)</f>
        <v>0</v>
      </c>
      <c r="R18" s="34" t="n">
        <f aca="false">((Q18+Schedules!R18)-Schedules!R19)</f>
        <v>0</v>
      </c>
      <c r="S18" s="34" t="n">
        <f aca="false">((R18+Schedules!S18)-Schedules!S19)</f>
        <v>0</v>
      </c>
      <c r="T18" s="34" t="n">
        <f aca="false">((S18+Schedules!T18)-Schedules!T19)</f>
        <v>0</v>
      </c>
      <c r="U18" s="34" t="n">
        <f aca="false">((T18+Schedules!U18)-Schedules!U19)</f>
        <v>0</v>
      </c>
    </row>
    <row r="19" customFormat="false" ht="15" hidden="false" customHeight="false" outlineLevel="0" collapsed="false">
      <c r="A19" s="32" t="s">
        <v>206</v>
      </c>
      <c r="B19" s="51" t="n">
        <f aca="false">(B17+B18)</f>
        <v>391.74</v>
      </c>
      <c r="C19" s="51" t="n">
        <f aca="false">(C17+C18)</f>
        <v>391.43</v>
      </c>
      <c r="D19" s="51" t="n">
        <f aca="false">(D17+D18)</f>
        <v>494.14</v>
      </c>
      <c r="E19" s="51" t="n">
        <f aca="false">(E17+E18)</f>
        <v>299.74</v>
      </c>
      <c r="F19" s="51" t="n">
        <f aca="false">(F17+F18)</f>
        <v>2963.63</v>
      </c>
      <c r="G19" s="51" t="n">
        <f aca="false">(G17+G18)</f>
        <v>4725.36</v>
      </c>
      <c r="H19" s="51" t="n">
        <f aca="false">(H17+H18)</f>
        <v>4464.14</v>
      </c>
      <c r="I19" s="51" t="n">
        <f aca="false">(I17+I18)</f>
        <v>1752.99</v>
      </c>
      <c r="J19" s="51" t="n">
        <f aca="false">(J17+J18)</f>
        <v>2237.19</v>
      </c>
      <c r="K19" s="51" t="n">
        <f aca="false">(K17+K18)</f>
        <v>2561.25</v>
      </c>
      <c r="L19" s="57" t="n">
        <f aca="false">(L17+L18)</f>
        <v>1830.46532203374</v>
      </c>
      <c r="M19" s="57" t="n">
        <f aca="false">(M17+M18)</f>
        <v>817.375671570379</v>
      </c>
      <c r="N19" s="57" t="n">
        <f aca="false">(N17+N18)</f>
        <v>0</v>
      </c>
      <c r="O19" s="57" t="n">
        <f aca="false">(O17+O18)</f>
        <v>0</v>
      </c>
      <c r="P19" s="57" t="n">
        <f aca="false">(P17+P18)</f>
        <v>0</v>
      </c>
      <c r="Q19" s="57" t="n">
        <f aca="false">(Q17+Q18)</f>
        <v>0</v>
      </c>
      <c r="R19" s="57" t="n">
        <f aca="false">(R17+R18)</f>
        <v>0</v>
      </c>
      <c r="S19" s="57" t="n">
        <f aca="false">(S17+S18)</f>
        <v>0</v>
      </c>
      <c r="T19" s="57" t="n">
        <f aca="false">(T17+T18)</f>
        <v>0</v>
      </c>
      <c r="U19" s="57" t="n">
        <f aca="false">(U17+U18)</f>
        <v>0</v>
      </c>
    </row>
    <row r="20" customFormat="false" ht="15" hidden="false" customHeight="false" outlineLevel="0" collapsed="false">
      <c r="A20" s="32" t="s">
        <v>207</v>
      </c>
      <c r="B20" s="54" t="n">
        <v>0</v>
      </c>
      <c r="C20" s="54" t="n">
        <v>0</v>
      </c>
      <c r="D20" s="54" t="n">
        <v>0</v>
      </c>
      <c r="E20" s="54" t="n">
        <v>0</v>
      </c>
      <c r="F20" s="54" t="n">
        <v>0</v>
      </c>
      <c r="G20" s="54" t="n">
        <v>0</v>
      </c>
      <c r="H20" s="54" t="n">
        <v>0</v>
      </c>
      <c r="I20" s="54" t="n">
        <v>0</v>
      </c>
      <c r="J20" s="54" t="n">
        <v>928.19</v>
      </c>
      <c r="K20" s="54" t="n">
        <v>1210.66</v>
      </c>
      <c r="L20" s="34" t="n">
        <f aca="false">(IFERROR((Drivers!L18)/(365),0)*'Income Statement'!L7)</f>
        <v>1429.26549271858</v>
      </c>
      <c r="M20" s="34" t="n">
        <f aca="false">(IFERROR((Drivers!M18)/(365),0)*'Income Statement'!M7)</f>
        <v>1657.51919190573</v>
      </c>
      <c r="N20" s="34" t="n">
        <f aca="false">(IFERROR((Drivers!N18)/(365),0)*'Income Statement'!N7)</f>
        <v>1916.75519351979</v>
      </c>
      <c r="O20" s="34" t="n">
        <f aca="false">(IFERROR((Drivers!O18)/(365),0)*'Income Statement'!O7)</f>
        <v>2195.25972313821</v>
      </c>
      <c r="P20" s="34" t="n">
        <f aca="false">(IFERROR((Drivers!P18)/(365),0)*'Income Statement'!P7)</f>
        <v>2493.37599354038</v>
      </c>
      <c r="Q20" s="34" t="n">
        <f aca="false">(IFERROR((Drivers!Q18)/(365),0)*'Income Statement'!Q7)</f>
        <v>2800.55991594456</v>
      </c>
      <c r="R20" s="34" t="n">
        <f aca="false">(IFERROR((Drivers!R18)/(365),0)*'Income Statement'!R7)</f>
        <v>3120.66391433702</v>
      </c>
      <c r="S20" s="34" t="n">
        <f aca="false">(IFERROR((Drivers!S18)/(365),0)*'Income Statement'!S7)</f>
        <v>3441.15609833943</v>
      </c>
      <c r="T20" s="34" t="n">
        <f aca="false">(IFERROR((Drivers!T18)/(365),0)*'Income Statement'!T7)</f>
        <v>3778.73351158653</v>
      </c>
      <c r="U20" s="34" t="n">
        <f aca="false">(IFERROR((Drivers!U18)/(365),0)*'Income Statement'!U7)</f>
        <v>4138.09106853841</v>
      </c>
    </row>
    <row r="21" customFormat="false" ht="15" hidden="false" customHeight="false" outlineLevel="0" collapsed="false">
      <c r="A21" s="32" t="s">
        <v>208</v>
      </c>
      <c r="B21" s="54" t="n">
        <v>282.82</v>
      </c>
      <c r="C21" s="54" t="n">
        <v>349.06</v>
      </c>
      <c r="D21" s="54" t="n">
        <v>418.11</v>
      </c>
      <c r="E21" s="54" t="n">
        <v>2819.17</v>
      </c>
      <c r="F21" s="54" t="n">
        <v>447.07</v>
      </c>
      <c r="G21" s="54" t="n">
        <v>636.66</v>
      </c>
      <c r="H21" s="54" t="n">
        <v>1021.9</v>
      </c>
      <c r="I21" s="54" t="n">
        <v>1341.02</v>
      </c>
      <c r="J21" s="54" t="n">
        <v>792.52</v>
      </c>
      <c r="K21" s="54" t="n">
        <v>971.99</v>
      </c>
      <c r="L21" s="34" t="n">
        <f aca="false">('Income Statement'!L6*Drivers!L20)</f>
        <v>1630.04891892494</v>
      </c>
      <c r="M21" s="34" t="n">
        <f aca="false">('Income Statement'!M6*Drivers!M20)</f>
        <v>1890.36773127726</v>
      </c>
      <c r="N21" s="34" t="n">
        <f aca="false">('Income Statement'!N6*Drivers!N20)</f>
        <v>2186.02124444902</v>
      </c>
      <c r="O21" s="34" t="n">
        <f aca="false">('Income Statement'!O6*Drivers!O20)</f>
        <v>2503.65013126746</v>
      </c>
      <c r="P21" s="34" t="n">
        <f aca="false">('Income Statement'!P6*Drivers!P20)</f>
        <v>2843.64581909358</v>
      </c>
      <c r="Q21" s="34" t="n">
        <f aca="false">('Income Statement'!Q6*Drivers!Q20)</f>
        <v>3193.98298400591</v>
      </c>
      <c r="R21" s="34" t="n">
        <f aca="false">('Income Statement'!R6*Drivers!R20)</f>
        <v>3559.05523907779</v>
      </c>
      <c r="S21" s="34" t="n">
        <f aca="false">('Income Statement'!S6*Drivers!S20)</f>
        <v>3924.57021213108</v>
      </c>
      <c r="T21" s="34" t="n">
        <f aca="false">('Income Statement'!T6*Drivers!T20)</f>
        <v>4309.57054994114</v>
      </c>
      <c r="U21" s="34" t="n">
        <f aca="false">('Income Statement'!U6*Drivers!U20)</f>
        <v>4719.41070924054</v>
      </c>
    </row>
    <row r="22" customFormat="false" ht="15" hidden="false" customHeight="false" outlineLevel="0" collapsed="false">
      <c r="A22" s="6" t="s">
        <v>209</v>
      </c>
      <c r="B22" s="60" t="n">
        <f aca="false">((((B15+B16)+B19)+B20)+B21)</f>
        <v>2222.25</v>
      </c>
      <c r="C22" s="60" t="n">
        <f aca="false">((((C15+C16)+C19)+C20)+C21)</f>
        <v>2335.86</v>
      </c>
      <c r="D22" s="60" t="n">
        <f aca="false">((((D15+D16)+D19)+D20)+D21)</f>
        <v>2558.76</v>
      </c>
      <c r="E22" s="60" t="n">
        <f aca="false">((((E15+E16)+E19)+E20)+E21)</f>
        <v>5506.68</v>
      </c>
      <c r="F22" s="60" t="n">
        <f aca="false">((((F15+F16)+F19)+F20)+F21)</f>
        <v>5723.73</v>
      </c>
      <c r="G22" s="60" t="n">
        <f aca="false">((((G15+G16)+G19)+G20)+G21)</f>
        <v>7726.02</v>
      </c>
      <c r="H22" s="60" t="n">
        <f aca="false">((((H15+H16)+H19)+H20)+H21)</f>
        <v>8081.53</v>
      </c>
      <c r="I22" s="60" t="n">
        <f aca="false">((((I15+I16)+I19)+I20)+I21)</f>
        <v>7161.75</v>
      </c>
      <c r="J22" s="60" t="n">
        <f aca="false">((((J15+J16)+J19)+J20)+J21)</f>
        <v>9419.64</v>
      </c>
      <c r="K22" s="60" t="n">
        <f aca="false">((((K15+K16)+K19)+K20)+K21)</f>
        <v>11728.58</v>
      </c>
      <c r="L22" s="61" t="n">
        <f aca="false">((((L15+L16)+L19)+L20)+L21)</f>
        <v>13988.2447195287</v>
      </c>
      <c r="M22" s="61" t="n">
        <f aca="false">((((M15+M16)+M19)+M20)+M21)</f>
        <v>15975.3115890604</v>
      </c>
      <c r="N22" s="61" t="n">
        <f aca="false">((((N15+N16)+N19)+N20)+N21)</f>
        <v>18722.5675370101</v>
      </c>
      <c r="O22" s="61" t="n">
        <f aca="false">((((O15+O16)+O19)+O20)+O21)</f>
        <v>22867.3124408282</v>
      </c>
      <c r="P22" s="61" t="n">
        <f aca="false">((((P15+P16)+P19)+P20)+P21)</f>
        <v>27687.9075767429</v>
      </c>
      <c r="Q22" s="61" t="n">
        <f aca="false">((((Q15+Q16)+Q19)+Q20)+Q21)</f>
        <v>33235.4737516295</v>
      </c>
      <c r="R22" s="61" t="n">
        <f aca="false">((((R15+R16)+R19)+R20)+R21)</f>
        <v>39610.5142812885</v>
      </c>
      <c r="S22" s="61" t="n">
        <f aca="false">((((S15+S16)+S19)+S20)+S21)</f>
        <v>46834.1966028917</v>
      </c>
      <c r="T22" s="61" t="n">
        <f aca="false">((((T15+T16)+T19)+T20)+T21)</f>
        <v>55041.8103338057</v>
      </c>
      <c r="U22" s="61" t="n">
        <f aca="false">((((U15+U16)+U19)+U20)+U21)</f>
        <v>64346.7525065891</v>
      </c>
    </row>
  </sheetData>
  <sheetProtection sheet="true" formatColumns="false" formatRows="false"/>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2" min="3" style="0" width="13"/>
  </cols>
  <sheetData>
    <row r="1" customFormat="false" ht="17.35" hidden="false" customHeight="false" outlineLevel="0" collapsed="false">
      <c r="A1" s="1" t="s">
        <v>210</v>
      </c>
    </row>
    <row r="2" customFormat="false" ht="15" hidden="false" customHeight="false" outlineLevel="0" collapsed="false">
      <c r="A2" s="2" t="s">
        <v>107</v>
      </c>
    </row>
    <row r="4" customFormat="false" ht="15" hidden="false" customHeight="false" outlineLevel="0" collapsed="false">
      <c r="A4" s="5" t="s">
        <v>108</v>
      </c>
      <c r="B4" s="27" t="s">
        <v>109</v>
      </c>
      <c r="C4" s="27" t="s">
        <v>110</v>
      </c>
      <c r="D4" s="27" t="s">
        <v>111</v>
      </c>
      <c r="E4" s="27" t="s">
        <v>62</v>
      </c>
      <c r="F4" s="27" t="s">
        <v>66</v>
      </c>
      <c r="G4" s="27" t="s">
        <v>112</v>
      </c>
      <c r="H4" s="27" t="s">
        <v>113</v>
      </c>
      <c r="I4" s="27" t="s">
        <v>114</v>
      </c>
      <c r="J4" s="27" t="s">
        <v>64</v>
      </c>
      <c r="K4" s="27" t="s">
        <v>5</v>
      </c>
      <c r="L4" s="27" t="s">
        <v>6</v>
      </c>
      <c r="M4" s="27" t="s">
        <v>7</v>
      </c>
      <c r="N4" s="27" t="s">
        <v>69</v>
      </c>
      <c r="O4" s="27" t="s">
        <v>115</v>
      </c>
      <c r="P4" s="27" t="s">
        <v>116</v>
      </c>
      <c r="Q4" s="27" t="s">
        <v>117</v>
      </c>
      <c r="R4" s="27" t="s">
        <v>118</v>
      </c>
      <c r="S4" s="27" t="s">
        <v>119</v>
      </c>
      <c r="T4" s="27" t="s">
        <v>55</v>
      </c>
      <c r="U4" s="27" t="s">
        <v>57</v>
      </c>
    </row>
    <row r="5" customFormat="false" ht="15" hidden="false" customHeight="false" outlineLevel="0" collapsed="false">
      <c r="A5" s="28" t="s">
        <v>211</v>
      </c>
      <c r="B5" s="29"/>
      <c r="C5" s="29"/>
      <c r="D5" s="29"/>
      <c r="E5" s="29"/>
      <c r="F5" s="29"/>
      <c r="G5" s="29"/>
      <c r="H5" s="29"/>
      <c r="I5" s="29"/>
      <c r="J5" s="29"/>
      <c r="K5" s="29"/>
      <c r="L5" s="29"/>
      <c r="M5" s="29"/>
      <c r="N5" s="29"/>
      <c r="O5" s="29"/>
      <c r="P5" s="29"/>
      <c r="Q5" s="29"/>
      <c r="R5" s="29"/>
      <c r="S5" s="29"/>
      <c r="T5" s="29"/>
      <c r="U5" s="29"/>
    </row>
    <row r="6" customFormat="false" ht="15" hidden="false" customHeight="false" outlineLevel="0" collapsed="false">
      <c r="A6" s="32" t="s">
        <v>212</v>
      </c>
      <c r="B6" s="9" t="n">
        <f aca="false">'Income Statement'!B18</f>
        <v>84.86</v>
      </c>
      <c r="C6" s="9" t="n">
        <f aca="false">'Income Statement'!C18</f>
        <v>86.97</v>
      </c>
      <c r="D6" s="9" t="n">
        <f aca="false">'Income Statement'!D18</f>
        <v>96.96</v>
      </c>
      <c r="E6" s="9" t="n">
        <f aca="false">'Income Statement'!E18</f>
        <v>122.85</v>
      </c>
      <c r="F6" s="9" t="n">
        <f aca="false">'Income Statement'!F18</f>
        <v>-146.17</v>
      </c>
      <c r="G6" s="9" t="n">
        <f aca="false">'Income Statement'!G18</f>
        <v>105.83</v>
      </c>
      <c r="H6" s="9" t="n">
        <f aca="false">'Income Statement'!H18</f>
        <v>444.63</v>
      </c>
      <c r="I6" s="9" t="n">
        <f aca="false">'Income Statement'!I18</f>
        <v>1486.8</v>
      </c>
      <c r="J6" s="9" t="n">
        <f aca="false">'Income Statement'!J18</f>
        <v>1546.72</v>
      </c>
      <c r="K6" s="9" t="n">
        <f aca="false">'Income Statement'!K18</f>
        <v>1719.65</v>
      </c>
      <c r="L6" s="34" t="n">
        <f aca="false">'Income Statement'!L18</f>
        <v>2297.59237592552</v>
      </c>
      <c r="M6" s="34" t="n">
        <f aca="false">'Income Statement'!M18</f>
        <v>2729.9826178864</v>
      </c>
      <c r="N6" s="34" t="n">
        <f aca="false">'Income Statement'!N18</f>
        <v>3271.45880949377</v>
      </c>
      <c r="O6" s="34" t="n">
        <f aca="false">'Income Statement'!O18</f>
        <v>3857.18639932737</v>
      </c>
      <c r="P6" s="34" t="n">
        <f aca="false">'Income Statement'!P18</f>
        <v>4546.17736705046</v>
      </c>
      <c r="Q6" s="34" t="n">
        <f aca="false">'Income Statement'!Q18</f>
        <v>5315.26639953275</v>
      </c>
      <c r="R6" s="34" t="n">
        <f aca="false">'Income Statement'!R18</f>
        <v>6184.63508282014</v>
      </c>
      <c r="S6" s="34" t="n">
        <f aca="false">'Income Statement'!S18</f>
        <v>7106.16865711653</v>
      </c>
      <c r="T6" s="34" t="n">
        <f aca="false">'Income Statement'!T18</f>
        <v>8135.90867375696</v>
      </c>
      <c r="U6" s="34" t="n">
        <f aca="false">'Income Statement'!U18</f>
        <v>9277.98310492509</v>
      </c>
    </row>
    <row r="7" customFormat="false" ht="15" hidden="false" customHeight="false" outlineLevel="0" collapsed="false">
      <c r="A7" s="32" t="s">
        <v>185</v>
      </c>
      <c r="B7" s="9" t="n">
        <f aca="false">'Income Statement'!B11</f>
        <v>41.29</v>
      </c>
      <c r="C7" s="9" t="n">
        <f aca="false">'Income Statement'!C11</f>
        <v>45.53</v>
      </c>
      <c r="D7" s="9" t="n">
        <f aca="false">'Income Statement'!D11</f>
        <v>51.67</v>
      </c>
      <c r="E7" s="9" t="n">
        <f aca="false">'Income Statement'!E11</f>
        <v>247.24</v>
      </c>
      <c r="F7" s="9" t="n">
        <f aca="false">'Income Statement'!F11</f>
        <v>257.3</v>
      </c>
      <c r="G7" s="9" t="n">
        <f aca="false">'Income Statement'!G11</f>
        <v>310.82</v>
      </c>
      <c r="H7" s="9" t="n">
        <f aca="false">'Income Statement'!H11</f>
        <v>493.69</v>
      </c>
      <c r="I7" s="9" t="n">
        <f aca="false">'Income Statement'!I11</f>
        <v>671.11</v>
      </c>
      <c r="J7" s="9" t="n">
        <f aca="false">'Income Statement'!J11</f>
        <v>895.18</v>
      </c>
      <c r="K7" s="9" t="n">
        <f aca="false">'Income Statement'!K11</f>
        <v>1361.19</v>
      </c>
      <c r="L7" s="34" t="n">
        <f aca="false">'Income Statement'!L11</f>
        <v>1587.73909303768</v>
      </c>
      <c r="M7" s="34" t="n">
        <f aca="false">'Income Statement'!M11</f>
        <v>1948.59930183469</v>
      </c>
      <c r="N7" s="34" t="n">
        <f aca="false">'Income Statement'!N11</f>
        <v>2279.96822214892</v>
      </c>
      <c r="O7" s="34" t="n">
        <f aca="false">'Income Statement'!O11</f>
        <v>2590.45948204787</v>
      </c>
      <c r="P7" s="34" t="n">
        <f aca="false">'Income Statement'!P11</f>
        <v>2866.90274526398</v>
      </c>
      <c r="Q7" s="34" t="n">
        <f aca="false">'Income Statement'!Q11</f>
        <v>3117.94526327006</v>
      </c>
      <c r="R7" s="34" t="n">
        <f aca="false">'Income Statement'!R11</f>
        <v>3334.26536860862</v>
      </c>
      <c r="S7" s="34" t="n">
        <f aca="false">'Income Statement'!S11</f>
        <v>3539.95955149912</v>
      </c>
      <c r="T7" s="34" t="n">
        <f aca="false">'Income Statement'!T11</f>
        <v>3722.701352058</v>
      </c>
      <c r="U7" s="34" t="n">
        <f aca="false">'Income Statement'!U11</f>
        <v>3897.42576660707</v>
      </c>
    </row>
    <row r="8" customFormat="false" ht="15" hidden="false" customHeight="false" outlineLevel="0" collapsed="false">
      <c r="A8" s="32" t="s">
        <v>213</v>
      </c>
      <c r="B8" s="9" t="n">
        <f aca="false">-(Schedules!B12)</f>
        <v>-271</v>
      </c>
      <c r="C8" s="9" t="n">
        <f aca="false">-(Schedules!C12)</f>
        <v>-37.9899999999999</v>
      </c>
      <c r="D8" s="9" t="n">
        <f aca="false">-(Schedules!D12)</f>
        <v>-145.24</v>
      </c>
      <c r="E8" s="9" t="n">
        <f aca="false">-(Schedules!E12)</f>
        <v>2104.66</v>
      </c>
      <c r="F8" s="9" t="n">
        <f aca="false">-(Schedules!F12)</f>
        <v>-2196.53</v>
      </c>
      <c r="G8" s="9" t="n">
        <f aca="false">-(Schedules!G12)</f>
        <v>-382.14</v>
      </c>
      <c r="H8" s="9" t="n">
        <f aca="false">-(Schedules!H12)</f>
        <v>-306.55</v>
      </c>
      <c r="I8" s="9" t="n">
        <f aca="false">-(Schedules!I12)</f>
        <v>-198.65</v>
      </c>
      <c r="J8" s="9" t="n">
        <f aca="false">-(Schedules!J12)</f>
        <v>-370.770000000001</v>
      </c>
      <c r="K8" s="9" t="n">
        <f aca="false">-(Schedules!K12)</f>
        <v>-301.079999999998</v>
      </c>
      <c r="L8" s="34" t="n">
        <f aca="false">-(Schedules!L12)</f>
        <v>265.165132373894</v>
      </c>
      <c r="M8" s="34" t="n">
        <f aca="false">-(Schedules!M12)</f>
        <v>-293.867941359889</v>
      </c>
      <c r="N8" s="34" t="n">
        <f aca="false">-(Schedules!N12)</f>
        <v>-333.756475325409</v>
      </c>
      <c r="O8" s="34" t="n">
        <f aca="false">-(Schedules!O12)</f>
        <v>-358.563971010448</v>
      </c>
      <c r="P8" s="34" t="n">
        <f aca="false">-(Schedules!P12)</f>
        <v>-383.813340072706</v>
      </c>
      <c r="Q8" s="34" t="n">
        <f aca="false">-(Schedules!Q12)</f>
        <v>-395.487596552609</v>
      </c>
      <c r="R8" s="34" t="n">
        <f aca="false">-(Schedules!R12)</f>
        <v>-412.121702139562</v>
      </c>
      <c r="S8" s="34" t="n">
        <f aca="false">-(Schedules!S12)</f>
        <v>-412.621476322707</v>
      </c>
      <c r="T8" s="34" t="n">
        <f aca="false">-(Schedules!T12)</f>
        <v>-434.618058037167</v>
      </c>
      <c r="U8" s="34" t="n">
        <f aca="false">-(Schedules!U12)</f>
        <v>-462.659163245271</v>
      </c>
    </row>
    <row r="9" customFormat="false" ht="15" hidden="false" customHeight="false" outlineLevel="0" collapsed="false">
      <c r="A9" s="6" t="s">
        <v>214</v>
      </c>
      <c r="B9" s="60" t="n">
        <f aca="false">((B6+B7)+B8)</f>
        <v>-144.85</v>
      </c>
      <c r="C9" s="60" t="n">
        <f aca="false">((C6+C7)+C8)</f>
        <v>94.5100000000001</v>
      </c>
      <c r="D9" s="60" t="n">
        <f aca="false">((D6+D7)+D8)</f>
        <v>3.38999999999993</v>
      </c>
      <c r="E9" s="60" t="n">
        <f aca="false">((E6+E7)+E8)</f>
        <v>2474.75</v>
      </c>
      <c r="F9" s="60" t="n">
        <f aca="false">((F6+F7)+F8)</f>
        <v>-2085.4</v>
      </c>
      <c r="G9" s="60" t="n">
        <f aca="false">((G6+G7)+G8)</f>
        <v>34.5100000000002</v>
      </c>
      <c r="H9" s="60" t="n">
        <f aca="false">((H6+H7)+H8)</f>
        <v>631.77</v>
      </c>
      <c r="I9" s="60" t="n">
        <f aca="false">((I6+I7)+I8)</f>
        <v>1959.26</v>
      </c>
      <c r="J9" s="60" t="n">
        <f aca="false">((J6+J7)+J8)</f>
        <v>2071.13</v>
      </c>
      <c r="K9" s="60" t="n">
        <f aca="false">((K6+K7)+K8)</f>
        <v>2779.76</v>
      </c>
      <c r="L9" s="61" t="n">
        <f aca="false">((L6+L7)+L8)</f>
        <v>4150.49660133709</v>
      </c>
      <c r="M9" s="61" t="n">
        <f aca="false">((M6+M7)+M8)</f>
        <v>4384.7139783612</v>
      </c>
      <c r="N9" s="61" t="n">
        <f aca="false">((N6+N7)+N8)</f>
        <v>5217.67055631728</v>
      </c>
      <c r="O9" s="61" t="n">
        <f aca="false">((O6+O7)+O8)</f>
        <v>6089.08191036479</v>
      </c>
      <c r="P9" s="61" t="n">
        <f aca="false">((P6+P7)+P8)</f>
        <v>7029.26677224174</v>
      </c>
      <c r="Q9" s="61" t="n">
        <f aca="false">((Q6+Q7)+Q8)</f>
        <v>8037.72406625021</v>
      </c>
      <c r="R9" s="61" t="n">
        <f aca="false">((R6+R7)+R8)</f>
        <v>9106.7787492892</v>
      </c>
      <c r="S9" s="61" t="n">
        <f aca="false">((S6+S7)+S8)</f>
        <v>10233.5067322929</v>
      </c>
      <c r="T9" s="61" t="n">
        <f aca="false">((T6+T7)+T8)</f>
        <v>11423.9919677778</v>
      </c>
      <c r="U9" s="61" t="n">
        <f aca="false">((U6+U7)+U8)</f>
        <v>12712.7497082869</v>
      </c>
    </row>
    <row r="10" customFormat="false" ht="15" hidden="false" customHeight="false" outlineLevel="0" collapsed="false">
      <c r="A10" s="28" t="s">
        <v>215</v>
      </c>
      <c r="B10" s="29"/>
      <c r="C10" s="29"/>
      <c r="D10" s="29"/>
      <c r="E10" s="29"/>
      <c r="F10" s="29"/>
      <c r="G10" s="29"/>
      <c r="H10" s="29"/>
      <c r="I10" s="29"/>
      <c r="J10" s="29"/>
      <c r="K10" s="29"/>
      <c r="L10" s="29"/>
      <c r="M10" s="29"/>
      <c r="N10" s="29"/>
      <c r="O10" s="29"/>
      <c r="P10" s="29"/>
      <c r="Q10" s="29"/>
      <c r="R10" s="29"/>
      <c r="S10" s="29"/>
      <c r="T10" s="29"/>
      <c r="U10" s="29"/>
    </row>
    <row r="11" customFormat="false" ht="15" hidden="false" customHeight="false" outlineLevel="0" collapsed="false">
      <c r="A11" s="32" t="s">
        <v>216</v>
      </c>
      <c r="B11" s="9" t="n">
        <f aca="false">(-(Schedules!B7)-('Balance Sheet'!B11-0))</f>
        <v>-5.48</v>
      </c>
      <c r="C11" s="9" t="n">
        <f aca="false">(-(Schedules!C7)-('Balance Sheet'!C11-'Balance Sheet'!B11))</f>
        <v>-113.46</v>
      </c>
      <c r="D11" s="9" t="n">
        <f aca="false">(-(Schedules!D7)-('Balance Sheet'!D11-'Balance Sheet'!C11))</f>
        <v>-178.91</v>
      </c>
      <c r="E11" s="9" t="n">
        <f aca="false">(-(Schedules!E7)-('Balance Sheet'!E11-'Balance Sheet'!D11))</f>
        <v>-2259.63</v>
      </c>
      <c r="F11" s="9" t="n">
        <f aca="false">(-(Schedules!F7)-('Balance Sheet'!F11-'Balance Sheet'!E11))</f>
        <v>-657.35</v>
      </c>
      <c r="G11" s="9" t="n">
        <f aca="false">(-(Schedules!G7)-('Balance Sheet'!G11-'Balance Sheet'!F11))</f>
        <v>-1940.45</v>
      </c>
      <c r="H11" s="9" t="n">
        <f aca="false">(-(Schedules!H7)-('Balance Sheet'!H11-'Balance Sheet'!G11))</f>
        <v>-330.93</v>
      </c>
      <c r="I11" s="9" t="n">
        <f aca="false">(-(Schedules!I7)-('Balance Sheet'!I11-'Balance Sheet'!H11))</f>
        <v>1283.86</v>
      </c>
      <c r="J11" s="9" t="n">
        <f aca="false">(-(Schedules!J7)-('Balance Sheet'!J11-'Balance Sheet'!I11))</f>
        <v>-2296.11</v>
      </c>
      <c r="K11" s="9" t="n">
        <f aca="false">(-(Schedules!K7)-('Balance Sheet'!K11-'Balance Sheet'!J11))</f>
        <v>-3059.29</v>
      </c>
      <c r="L11" s="34" t="n">
        <f aca="false">(-(Schedules!L7)-('Balance Sheet'!L11-'Balance Sheet'!K11))</f>
        <v>-2918.90453329668</v>
      </c>
      <c r="M11" s="34" t="n">
        <f aca="false">(-(Schedules!M7)-('Balance Sheet'!M11-'Balance Sheet'!L11))</f>
        <v>-3153.22571846655</v>
      </c>
      <c r="N11" s="34" t="n">
        <f aca="false">(-(Schedules!N7)-('Balance Sheet'!N11-'Balance Sheet'!M11))</f>
        <v>-3419.19914321937</v>
      </c>
      <c r="O11" s="34" t="n">
        <f aca="false">(-(Schedules!O7)-('Balance Sheet'!O11-'Balance Sheet'!N11))</f>
        <v>-3615.80520113982</v>
      </c>
      <c r="P11" s="34" t="n">
        <f aca="false">(-(Schedules!P7)-('Balance Sheet'!P11-'Balance Sheet'!O11))</f>
        <v>-3808.49924567181</v>
      </c>
      <c r="Q11" s="34" t="n">
        <f aca="false">(-(Schedules!Q7)-('Balance Sheet'!Q11-'Balance Sheet'!P11))</f>
        <v>-3940.95099706945</v>
      </c>
      <c r="R11" s="34" t="n">
        <f aca="false">(-(Schedules!R7)-('Balance Sheet'!R11-'Balance Sheet'!Q11))</f>
        <v>-4123.32787314029</v>
      </c>
      <c r="S11" s="34" t="n">
        <f aca="false">(-(Schedules!S7)-('Balance Sheet'!S11-'Balance Sheet'!R11))</f>
        <v>-4249.33292115501</v>
      </c>
      <c r="T11" s="34" t="n">
        <f aca="false">(-(Schedules!T7)-('Balance Sheet'!T11-'Balance Sheet'!S11))</f>
        <v>-4408.16255882819</v>
      </c>
      <c r="U11" s="34" t="n">
        <f aca="false">(-(Schedules!U7)-('Balance Sheet'!U11-'Balance Sheet'!T11))</f>
        <v>-4546.05954271353</v>
      </c>
    </row>
    <row r="12" customFormat="false" ht="15" hidden="false" customHeight="false" outlineLevel="0" collapsed="false">
      <c r="A12" s="32" t="s">
        <v>199</v>
      </c>
      <c r="B12" s="9" t="n">
        <f aca="false">-(('Balance Sheet'!B12-0))</f>
        <v>-1079.96</v>
      </c>
      <c r="C12" s="9" t="n">
        <f aca="false">-(('Balance Sheet'!C12-'Balance Sheet'!B12))</f>
        <v>57.08</v>
      </c>
      <c r="D12" s="9" t="n">
        <f aca="false">-(('Balance Sheet'!D12-'Balance Sheet'!C12))</f>
        <v>140.05</v>
      </c>
      <c r="E12" s="9" t="n">
        <f aca="false">-(('Balance Sheet'!E12-'Balance Sheet'!D12))</f>
        <v>-631.95</v>
      </c>
      <c r="F12" s="9" t="n">
        <f aca="false">-(('Balance Sheet'!F12-'Balance Sheet'!E12))</f>
        <v>27.49</v>
      </c>
      <c r="G12" s="9" t="n">
        <f aca="false">-(('Balance Sheet'!G12-'Balance Sheet'!F12))</f>
        <v>203.57</v>
      </c>
      <c r="H12" s="9" t="n">
        <f aca="false">-(('Balance Sheet'!H12-'Balance Sheet'!G12))</f>
        <v>173.85</v>
      </c>
      <c r="I12" s="9" t="n">
        <f aca="false">-(('Balance Sheet'!I12-'Balance Sheet'!H12))</f>
        <v>-306.16</v>
      </c>
      <c r="J12" s="9" t="n">
        <f aca="false">-(('Balance Sheet'!J12-'Balance Sheet'!I12))</f>
        <v>-64.22</v>
      </c>
      <c r="K12" s="9" t="n">
        <f aca="false">-(('Balance Sheet'!K12-'Balance Sheet'!J12))</f>
        <v>95.3399999999999</v>
      </c>
      <c r="L12" s="34" t="n">
        <f aca="false">-(('Balance Sheet'!L12-'Balance Sheet'!K12))</f>
        <v>-0</v>
      </c>
      <c r="M12" s="34" t="n">
        <f aca="false">-(('Balance Sheet'!M12-'Balance Sheet'!L12))</f>
        <v>-0</v>
      </c>
      <c r="N12" s="34" t="n">
        <f aca="false">-(('Balance Sheet'!N12-'Balance Sheet'!M12))</f>
        <v>-0</v>
      </c>
      <c r="O12" s="34" t="n">
        <f aca="false">-(('Balance Sheet'!O12-'Balance Sheet'!N12))</f>
        <v>-0</v>
      </c>
      <c r="P12" s="34" t="n">
        <f aca="false">-(('Balance Sheet'!P12-'Balance Sheet'!O12))</f>
        <v>-0</v>
      </c>
      <c r="Q12" s="34" t="n">
        <f aca="false">-(('Balance Sheet'!Q12-'Balance Sheet'!P12))</f>
        <v>-0</v>
      </c>
      <c r="R12" s="34" t="n">
        <f aca="false">-(('Balance Sheet'!R12-'Balance Sheet'!Q12))</f>
        <v>-0</v>
      </c>
      <c r="S12" s="34" t="n">
        <f aca="false">-(('Balance Sheet'!S12-'Balance Sheet'!R12))</f>
        <v>-0</v>
      </c>
      <c r="T12" s="34" t="n">
        <f aca="false">-(('Balance Sheet'!T12-'Balance Sheet'!S12))</f>
        <v>-0</v>
      </c>
      <c r="U12" s="34" t="n">
        <f aca="false">-(('Balance Sheet'!U12-'Balance Sheet'!T12))</f>
        <v>-0</v>
      </c>
    </row>
    <row r="13" customFormat="false" ht="15" hidden="false" customHeight="false" outlineLevel="0" collapsed="false">
      <c r="A13" s="6" t="s">
        <v>217</v>
      </c>
      <c r="B13" s="60" t="n">
        <f aca="false">(B11+B12)</f>
        <v>-1085.44</v>
      </c>
      <c r="C13" s="60" t="n">
        <f aca="false">(C11+C12)</f>
        <v>-56.3799999999999</v>
      </c>
      <c r="D13" s="60" t="n">
        <f aca="false">(D11+D12)</f>
        <v>-38.86</v>
      </c>
      <c r="E13" s="60" t="n">
        <f aca="false">(E11+E12)</f>
        <v>-2891.58</v>
      </c>
      <c r="F13" s="60" t="n">
        <f aca="false">(F11+F12)</f>
        <v>-629.86</v>
      </c>
      <c r="G13" s="60" t="n">
        <f aca="false">(G11+G12)</f>
        <v>-1736.88</v>
      </c>
      <c r="H13" s="60" t="n">
        <f aca="false">(H11+H12)</f>
        <v>-157.08</v>
      </c>
      <c r="I13" s="60" t="n">
        <f aca="false">(I11+I12)</f>
        <v>977.7</v>
      </c>
      <c r="J13" s="60" t="n">
        <f aca="false">(J11+J12)</f>
        <v>-2360.33</v>
      </c>
      <c r="K13" s="60" t="n">
        <f aca="false">(K11+K12)</f>
        <v>-2963.95</v>
      </c>
      <c r="L13" s="61" t="n">
        <f aca="false">(L11+L12)</f>
        <v>-2918.90453329668</v>
      </c>
      <c r="M13" s="61" t="n">
        <f aca="false">(M11+M12)</f>
        <v>-3153.22571846655</v>
      </c>
      <c r="N13" s="61" t="n">
        <f aca="false">(N11+N12)</f>
        <v>-3419.19914321937</v>
      </c>
      <c r="O13" s="61" t="n">
        <f aca="false">(O11+O12)</f>
        <v>-3615.80520113982</v>
      </c>
      <c r="P13" s="61" t="n">
        <f aca="false">(P11+P12)</f>
        <v>-3808.49924567181</v>
      </c>
      <c r="Q13" s="61" t="n">
        <f aca="false">(Q11+Q12)</f>
        <v>-3940.95099706945</v>
      </c>
      <c r="R13" s="61" t="n">
        <f aca="false">(R11+R12)</f>
        <v>-4123.32787314029</v>
      </c>
      <c r="S13" s="61" t="n">
        <f aca="false">(S11+S12)</f>
        <v>-4249.33292115501</v>
      </c>
      <c r="T13" s="61" t="n">
        <f aca="false">(T11+T12)</f>
        <v>-4408.16255882819</v>
      </c>
      <c r="U13" s="61" t="n">
        <f aca="false">(U11+U12)</f>
        <v>-4546.05954271353</v>
      </c>
    </row>
    <row r="14" customFormat="false" ht="15" hidden="false" customHeight="false" outlineLevel="0" collapsed="false">
      <c r="A14" s="28" t="s">
        <v>218</v>
      </c>
      <c r="B14" s="29"/>
      <c r="C14" s="29"/>
      <c r="D14" s="29"/>
      <c r="E14" s="29"/>
      <c r="F14" s="29"/>
      <c r="G14" s="29"/>
      <c r="H14" s="29"/>
      <c r="I14" s="29"/>
      <c r="J14" s="29"/>
      <c r="K14" s="29"/>
      <c r="L14" s="29"/>
      <c r="M14" s="29"/>
      <c r="N14" s="29"/>
      <c r="O14" s="29"/>
      <c r="P14" s="29"/>
      <c r="Q14" s="29"/>
      <c r="R14" s="29"/>
      <c r="S14" s="29"/>
      <c r="T14" s="29"/>
      <c r="U14" s="29"/>
    </row>
    <row r="15" customFormat="false" ht="15" hidden="false" customHeight="false" outlineLevel="0" collapsed="false">
      <c r="A15" s="32" t="s">
        <v>219</v>
      </c>
      <c r="B15" s="9" t="n">
        <f aca="false">('Balance Sheet'!B17-0)</f>
        <v>391.74</v>
      </c>
      <c r="C15" s="9" t="n">
        <f aca="false">('Balance Sheet'!C17-'Balance Sheet'!B17)</f>
        <v>-0.310000000000002</v>
      </c>
      <c r="D15" s="9" t="n">
        <f aca="false">('Balance Sheet'!D17-'Balance Sheet'!C17)</f>
        <v>102.71</v>
      </c>
      <c r="E15" s="9" t="n">
        <f aca="false">('Balance Sheet'!E17-'Balance Sheet'!D17)</f>
        <v>-194.4</v>
      </c>
      <c r="F15" s="9" t="n">
        <f aca="false">('Balance Sheet'!F17-'Balance Sheet'!E17)</f>
        <v>2663.89</v>
      </c>
      <c r="G15" s="9" t="n">
        <f aca="false">('Balance Sheet'!G17-'Balance Sheet'!F17)</f>
        <v>1761.73</v>
      </c>
      <c r="H15" s="9" t="n">
        <f aca="false">('Balance Sheet'!H17-'Balance Sheet'!G17)</f>
        <v>-261.219999999999</v>
      </c>
      <c r="I15" s="9" t="n">
        <f aca="false">('Balance Sheet'!I17-'Balance Sheet'!H17)</f>
        <v>-2711.15</v>
      </c>
      <c r="J15" s="9" t="n">
        <f aca="false">('Balance Sheet'!J17-'Balance Sheet'!I17)</f>
        <v>484.2</v>
      </c>
      <c r="K15" s="9" t="n">
        <f aca="false">('Balance Sheet'!K17-'Balance Sheet'!J17)</f>
        <v>324.06</v>
      </c>
      <c r="L15" s="34" t="n">
        <f aca="false">('Balance Sheet'!L17-'Balance Sheet'!K17)</f>
        <v>-1354.45</v>
      </c>
      <c r="M15" s="34" t="n">
        <f aca="false">('Balance Sheet'!M17-'Balance Sheet'!L17)</f>
        <v>-700</v>
      </c>
      <c r="N15" s="34" t="n">
        <f aca="false">('Balance Sheet'!N17-'Balance Sheet'!M17)</f>
        <v>-506.8</v>
      </c>
      <c r="O15" s="34" t="n">
        <f aca="false">('Balance Sheet'!O17-'Balance Sheet'!N17)</f>
        <v>0</v>
      </c>
      <c r="P15" s="34" t="n">
        <f aca="false">('Balance Sheet'!P17-'Balance Sheet'!O17)</f>
        <v>0</v>
      </c>
      <c r="Q15" s="34" t="n">
        <f aca="false">('Balance Sheet'!Q17-'Balance Sheet'!P17)</f>
        <v>0</v>
      </c>
      <c r="R15" s="34" t="n">
        <f aca="false">('Balance Sheet'!R17-'Balance Sheet'!Q17)</f>
        <v>0</v>
      </c>
      <c r="S15" s="34" t="n">
        <f aca="false">('Balance Sheet'!S17-'Balance Sheet'!R17)</f>
        <v>0</v>
      </c>
      <c r="T15" s="34" t="n">
        <f aca="false">('Balance Sheet'!T17-'Balance Sheet'!S17)</f>
        <v>0</v>
      </c>
      <c r="U15" s="34" t="n">
        <f aca="false">('Balance Sheet'!U17-'Balance Sheet'!T17)</f>
        <v>0</v>
      </c>
    </row>
    <row r="16" customFormat="false" ht="15" hidden="false" customHeight="false" outlineLevel="0" collapsed="false">
      <c r="A16" s="32" t="s">
        <v>220</v>
      </c>
      <c r="B16" s="9" t="n">
        <f aca="false">('Balance Sheet'!B18-0)</f>
        <v>0</v>
      </c>
      <c r="C16" s="9" t="n">
        <f aca="false">('Balance Sheet'!C18-'Balance Sheet'!B18)</f>
        <v>0</v>
      </c>
      <c r="D16" s="9" t="n">
        <f aca="false">('Balance Sheet'!D18-'Balance Sheet'!C18)</f>
        <v>0</v>
      </c>
      <c r="E16" s="9" t="n">
        <f aca="false">('Balance Sheet'!E18-'Balance Sheet'!D18)</f>
        <v>0</v>
      </c>
      <c r="F16" s="9" t="n">
        <f aca="false">('Balance Sheet'!F18-'Balance Sheet'!E18)</f>
        <v>0</v>
      </c>
      <c r="G16" s="9" t="n">
        <f aca="false">('Balance Sheet'!G18-'Balance Sheet'!F18)</f>
        <v>0</v>
      </c>
      <c r="H16" s="9" t="n">
        <f aca="false">('Balance Sheet'!H18-'Balance Sheet'!G18)</f>
        <v>0</v>
      </c>
      <c r="I16" s="9" t="n">
        <f aca="false">('Balance Sheet'!I18-'Balance Sheet'!H18)</f>
        <v>0</v>
      </c>
      <c r="J16" s="9" t="n">
        <f aca="false">('Balance Sheet'!J18-'Balance Sheet'!I18)</f>
        <v>0</v>
      </c>
      <c r="K16" s="9" t="n">
        <f aca="false">('Balance Sheet'!K18-'Balance Sheet'!J18)</f>
        <v>0</v>
      </c>
      <c r="L16" s="34" t="n">
        <f aca="false">('Balance Sheet'!L18-'Balance Sheet'!K18)</f>
        <v>623.665322033737</v>
      </c>
      <c r="M16" s="34" t="n">
        <f aca="false">('Balance Sheet'!M18-'Balance Sheet'!L18)</f>
        <v>-313.089650463358</v>
      </c>
      <c r="N16" s="34" t="n">
        <f aca="false">('Balance Sheet'!N18-'Balance Sheet'!M18)</f>
        <v>-310.575671570379</v>
      </c>
      <c r="O16" s="34" t="n">
        <f aca="false">('Balance Sheet'!O18-'Balance Sheet'!N18)</f>
        <v>0</v>
      </c>
      <c r="P16" s="34" t="n">
        <f aca="false">('Balance Sheet'!P18-'Balance Sheet'!O18)</f>
        <v>0</v>
      </c>
      <c r="Q16" s="34" t="n">
        <f aca="false">('Balance Sheet'!Q18-'Balance Sheet'!P18)</f>
        <v>0</v>
      </c>
      <c r="R16" s="34" t="n">
        <f aca="false">('Balance Sheet'!R18-'Balance Sheet'!Q18)</f>
        <v>0</v>
      </c>
      <c r="S16" s="34" t="n">
        <f aca="false">('Balance Sheet'!S18-'Balance Sheet'!R18)</f>
        <v>0</v>
      </c>
      <c r="T16" s="34" t="n">
        <f aca="false">('Balance Sheet'!T18-'Balance Sheet'!S18)</f>
        <v>0</v>
      </c>
      <c r="U16" s="34" t="n">
        <f aca="false">('Balance Sheet'!U18-'Balance Sheet'!T18)</f>
        <v>0</v>
      </c>
    </row>
    <row r="17" customFormat="false" ht="15" hidden="false" customHeight="false" outlineLevel="0" collapsed="false">
      <c r="A17" s="32" t="s">
        <v>221</v>
      </c>
      <c r="B17" s="9" t="n">
        <f aca="false">-(Schedules!B22)</f>
        <v>-33.23</v>
      </c>
      <c r="C17" s="9" t="n">
        <f aca="false">-(Schedules!C22)</f>
        <v>-38.21</v>
      </c>
      <c r="D17" s="9" t="n">
        <f aca="false">-(Schedules!D22)</f>
        <v>-43.2</v>
      </c>
      <c r="E17" s="9" t="n">
        <f aca="false">-(Schedules!E22)</f>
        <v>-35.55</v>
      </c>
      <c r="F17" s="9" t="n">
        <f aca="false">-(Schedules!F22)</f>
        <v>-21.33</v>
      </c>
      <c r="G17" s="9" t="n">
        <f aca="false">-(Schedules!G22)</f>
        <v>-60.44</v>
      </c>
      <c r="H17" s="9" t="n">
        <f aca="false">-(Schedules!H22)</f>
        <v>-78.21</v>
      </c>
      <c r="I17" s="9" t="n">
        <f aca="false">-(Schedules!I22)</f>
        <v>-113.76</v>
      </c>
      <c r="J17" s="9" t="n">
        <f aca="false">-(Schedules!J22)</f>
        <v>-177.75</v>
      </c>
      <c r="K17" s="9" t="n">
        <f aca="false">-(Schedules!K22)</f>
        <v>-142.2</v>
      </c>
      <c r="L17" s="34" t="n">
        <f aca="false">-(Schedules!L22)</f>
        <v>-183.807390074033</v>
      </c>
      <c r="M17" s="34" t="n">
        <f aca="false">-(Schedules!M22)</f>
        <v>-218.398609430869</v>
      </c>
      <c r="N17" s="34" t="n">
        <f aca="false">-(Schedules!N22)</f>
        <v>-261.716704759479</v>
      </c>
      <c r="O17" s="34" t="n">
        <f aca="false">-(Schedules!O22)</f>
        <v>-308.574911946206</v>
      </c>
      <c r="P17" s="34" t="n">
        <f aca="false">-(Schedules!P22)</f>
        <v>-363.694189364037</v>
      </c>
      <c r="Q17" s="34" t="n">
        <f aca="false">-(Schedules!Q22)</f>
        <v>-425.221311962597</v>
      </c>
      <c r="R17" s="34" t="n">
        <f aca="false">-(Schedules!R22)</f>
        <v>-494.77080662553</v>
      </c>
      <c r="S17" s="34" t="n">
        <f aca="false">-(Schedules!S22)</f>
        <v>-568.493492569129</v>
      </c>
      <c r="T17" s="34" t="n">
        <f aca="false">-(Schedules!T22)</f>
        <v>-650.872693900165</v>
      </c>
      <c r="U17" s="34" t="n">
        <f aca="false">-(Schedules!U22)</f>
        <v>-742.23864839328</v>
      </c>
    </row>
    <row r="18" customFormat="false" ht="15" hidden="false" customHeight="false" outlineLevel="0" collapsed="false">
      <c r="A18" s="32" t="s">
        <v>177</v>
      </c>
      <c r="B18" s="9" t="n">
        <f aca="false">Drivers!B27</f>
        <v>0</v>
      </c>
      <c r="C18" s="9" t="n">
        <f aca="false">Drivers!C27</f>
        <v>0</v>
      </c>
      <c r="D18" s="9" t="n">
        <f aca="false">Drivers!D27</f>
        <v>0</v>
      </c>
      <c r="E18" s="9" t="n">
        <f aca="false">Drivers!E27</f>
        <v>0</v>
      </c>
      <c r="F18" s="9" t="n">
        <f aca="false">Drivers!F27</f>
        <v>0</v>
      </c>
      <c r="G18" s="9" t="n">
        <f aca="false">Drivers!G27</f>
        <v>0</v>
      </c>
      <c r="H18" s="9" t="n">
        <f aca="false">Drivers!H27</f>
        <v>0</v>
      </c>
      <c r="I18" s="9" t="n">
        <f aca="false">Drivers!I27</f>
        <v>0</v>
      </c>
      <c r="J18" s="9" t="n">
        <f aca="false">Drivers!J27</f>
        <v>0</v>
      </c>
      <c r="K18" s="9" t="n">
        <f aca="false">Drivers!K27</f>
        <v>0</v>
      </c>
      <c r="L18" s="34" t="n">
        <f aca="false">Drivers!L27</f>
        <v>0</v>
      </c>
      <c r="M18" s="34" t="n">
        <f aca="false">Drivers!M27</f>
        <v>0</v>
      </c>
      <c r="N18" s="34" t="n">
        <f aca="false">Drivers!N27</f>
        <v>0</v>
      </c>
      <c r="O18" s="34" t="n">
        <f aca="false">Drivers!O27</f>
        <v>0</v>
      </c>
      <c r="P18" s="34" t="n">
        <f aca="false">Drivers!P27</f>
        <v>0</v>
      </c>
      <c r="Q18" s="34" t="n">
        <f aca="false">Drivers!Q27</f>
        <v>0</v>
      </c>
      <c r="R18" s="34" t="n">
        <f aca="false">Drivers!R27</f>
        <v>0</v>
      </c>
      <c r="S18" s="34" t="n">
        <f aca="false">Drivers!S27</f>
        <v>0</v>
      </c>
      <c r="T18" s="34" t="n">
        <f aca="false">Drivers!T27</f>
        <v>0</v>
      </c>
      <c r="U18" s="34" t="n">
        <f aca="false">Drivers!U27</f>
        <v>0</v>
      </c>
    </row>
    <row r="19" customFormat="false" ht="15" hidden="false" customHeight="false" outlineLevel="0" collapsed="false">
      <c r="A19" s="6" t="s">
        <v>222</v>
      </c>
      <c r="B19" s="60" t="n">
        <f aca="false">(((B15+B16)+B17)+B18)</f>
        <v>358.51</v>
      </c>
      <c r="C19" s="60" t="n">
        <f aca="false">(((C15+C16)+C17)+C18)</f>
        <v>-38.52</v>
      </c>
      <c r="D19" s="60" t="n">
        <f aca="false">(((D15+D16)+D17)+D18)</f>
        <v>59.51</v>
      </c>
      <c r="E19" s="60" t="n">
        <f aca="false">(((E15+E16)+E17)+E18)</f>
        <v>-229.95</v>
      </c>
      <c r="F19" s="60" t="n">
        <f aca="false">(((F15+F16)+F17)+F18)</f>
        <v>2642.56</v>
      </c>
      <c r="G19" s="60" t="n">
        <f aca="false">(((G15+G16)+G17)+G18)</f>
        <v>1701.29</v>
      </c>
      <c r="H19" s="60" t="n">
        <f aca="false">(((H15+H16)+H17)+H18)</f>
        <v>-339.429999999999</v>
      </c>
      <c r="I19" s="60" t="n">
        <f aca="false">(((I15+I16)+I17)+I18)</f>
        <v>-2824.91</v>
      </c>
      <c r="J19" s="60" t="n">
        <f aca="false">(((J15+J16)+J17)+J18)</f>
        <v>306.45</v>
      </c>
      <c r="K19" s="60" t="n">
        <f aca="false">(((K15+K16)+K17)+K18)</f>
        <v>181.86</v>
      </c>
      <c r="L19" s="61" t="n">
        <f aca="false">(((L15+L16)+L17)+L18)</f>
        <v>-914.592068040296</v>
      </c>
      <c r="M19" s="61" t="n">
        <f aca="false">(((M15+M16)+M17)+M18)</f>
        <v>-1231.48825989423</v>
      </c>
      <c r="N19" s="61" t="n">
        <f aca="false">(((N15+N16)+N17)+N18)</f>
        <v>-1079.09237632986</v>
      </c>
      <c r="O19" s="61" t="n">
        <f aca="false">(((O15+O16)+O17)+O18)</f>
        <v>-308.574911946206</v>
      </c>
      <c r="P19" s="61" t="n">
        <f aca="false">(((P15+P16)+P17)+P18)</f>
        <v>-363.694189364037</v>
      </c>
      <c r="Q19" s="61" t="n">
        <f aca="false">(((Q15+Q16)+Q17)+Q18)</f>
        <v>-425.221311962597</v>
      </c>
      <c r="R19" s="61" t="n">
        <f aca="false">(((R15+R16)+R17)+R18)</f>
        <v>-494.77080662553</v>
      </c>
      <c r="S19" s="61" t="n">
        <f aca="false">(((S15+S16)+S17)+S18)</f>
        <v>-568.493492569129</v>
      </c>
      <c r="T19" s="61" t="n">
        <f aca="false">(((T15+T16)+T17)+T18)</f>
        <v>-650.872693900165</v>
      </c>
      <c r="U19" s="61" t="n">
        <f aca="false">(((U15+U16)+U17)+U18)</f>
        <v>-742.23864839328</v>
      </c>
    </row>
    <row r="20" customFormat="false" ht="15" hidden="false" customHeight="false" outlineLevel="0" collapsed="false">
      <c r="A20" s="28" t="s">
        <v>223</v>
      </c>
      <c r="B20" s="29"/>
      <c r="C20" s="29"/>
      <c r="D20" s="29"/>
      <c r="E20" s="29"/>
      <c r="F20" s="29"/>
      <c r="G20" s="29"/>
      <c r="H20" s="29"/>
      <c r="I20" s="29"/>
      <c r="J20" s="29"/>
      <c r="K20" s="29"/>
      <c r="L20" s="29"/>
      <c r="M20" s="29"/>
      <c r="N20" s="29"/>
      <c r="O20" s="29"/>
      <c r="P20" s="29"/>
      <c r="Q20" s="29"/>
      <c r="R20" s="29"/>
      <c r="S20" s="29"/>
      <c r="T20" s="29"/>
      <c r="U20" s="29"/>
    </row>
    <row r="21" customFormat="false" ht="15" hidden="false" customHeight="false" outlineLevel="0" collapsed="false">
      <c r="A21" s="6" t="s">
        <v>224</v>
      </c>
      <c r="B21" s="62" t="n">
        <f aca="false">((B9+B13)+B19)</f>
        <v>-871.78</v>
      </c>
      <c r="C21" s="62" t="n">
        <f aca="false">((C9+C13)+C19)</f>
        <v>-0.389999999999752</v>
      </c>
      <c r="D21" s="62" t="n">
        <f aca="false">((D9+D13)+D19)</f>
        <v>24.0399999999999</v>
      </c>
      <c r="E21" s="62" t="n">
        <f aca="false">((E9+E13)+E19)</f>
        <v>-646.78</v>
      </c>
      <c r="F21" s="62" t="n">
        <f aca="false">((F9+F13)+F19)</f>
        <v>-72.6999999999994</v>
      </c>
      <c r="G21" s="62" t="n">
        <f aca="false">((G9+G13)+G19)</f>
        <v>-1.08000000000038</v>
      </c>
      <c r="H21" s="62" t="n">
        <f aca="false">((H9+H13)+H19)</f>
        <v>135.260000000001</v>
      </c>
      <c r="I21" s="62" t="n">
        <f aca="false">((I9+I13)+I19)</f>
        <v>112.049999999999</v>
      </c>
      <c r="J21" s="62" t="n">
        <f aca="false">((J9+J13)+J19)</f>
        <v>17.2499999999993</v>
      </c>
      <c r="K21" s="62" t="n">
        <f aca="false">((K9+K13)+K19)</f>
        <v>-2.32999999999782</v>
      </c>
      <c r="L21" s="63" t="n">
        <f aca="false">((L9+L13)+L19)</f>
        <v>317.000000000108</v>
      </c>
      <c r="M21" s="63" t="n">
        <f aca="false">((M9+M13)+M19)</f>
        <v>4.24734025727958E-010</v>
      </c>
      <c r="N21" s="63" t="n">
        <f aca="false">((N9+N13)+N19)</f>
        <v>719.379036768049</v>
      </c>
      <c r="O21" s="63" t="n">
        <f aca="false">((O9+O13)+O19)</f>
        <v>2164.70179727877</v>
      </c>
      <c r="P21" s="63" t="n">
        <f aca="false">((P9+P13)+P19)</f>
        <v>2857.0733372059</v>
      </c>
      <c r="Q21" s="63" t="n">
        <f aca="false">((Q9+Q13)+Q19)</f>
        <v>3671.55175721816</v>
      </c>
      <c r="R21" s="63" t="n">
        <f aca="false">((R9+R13)+R19)</f>
        <v>4488.68006952338</v>
      </c>
      <c r="S21" s="63" t="n">
        <f aca="false">((S9+S13)+S19)</f>
        <v>5415.6803185688</v>
      </c>
      <c r="T21" s="63" t="n">
        <f aca="false">((T9+T13)+T19)</f>
        <v>6364.95671504944</v>
      </c>
      <c r="U21" s="63" t="n">
        <f aca="false">((U9+U13)+U19)</f>
        <v>7424.45151718007</v>
      </c>
    </row>
    <row r="22" customFormat="false" ht="15" hidden="false" customHeight="false" outlineLevel="0" collapsed="false">
      <c r="A22" s="32" t="s">
        <v>225</v>
      </c>
      <c r="B22" s="51" t="n">
        <f aca="false">0</f>
        <v>0</v>
      </c>
      <c r="C22" s="9" t="n">
        <f aca="false">'Balance Sheet'!B6</f>
        <v>34.28</v>
      </c>
      <c r="D22" s="9" t="n">
        <f aca="false">'Balance Sheet'!C6</f>
        <v>32.81</v>
      </c>
      <c r="E22" s="9" t="n">
        <f aca="false">'Balance Sheet'!D6</f>
        <v>54.23</v>
      </c>
      <c r="F22" s="9" t="n">
        <f aca="false">'Balance Sheet'!E6</f>
        <v>61.41</v>
      </c>
      <c r="G22" s="9" t="n">
        <f aca="false">'Balance Sheet'!F6</f>
        <v>81.47</v>
      </c>
      <c r="H22" s="9" t="n">
        <f aca="false">'Balance Sheet'!G6</f>
        <v>85.97</v>
      </c>
      <c r="I22" s="9" t="n">
        <f aca="false">'Balance Sheet'!H6</f>
        <v>86.3</v>
      </c>
      <c r="J22" s="9" t="n">
        <f aca="false">'Balance Sheet'!I6</f>
        <v>297.56</v>
      </c>
      <c r="K22" s="9" t="n">
        <f aca="false">'Balance Sheet'!J6</f>
        <v>339.84</v>
      </c>
      <c r="L22" s="34" t="n">
        <f aca="false">'Balance Sheet'!K6</f>
        <v>283</v>
      </c>
      <c r="M22" s="34" t="n">
        <f aca="false">'Balance Sheet'!L6</f>
        <v>600.000000000108</v>
      </c>
      <c r="N22" s="34" t="n">
        <f aca="false">'Balance Sheet'!M6</f>
        <v>600.000000000533</v>
      </c>
      <c r="O22" s="34" t="n">
        <f aca="false">'Balance Sheet'!N6</f>
        <v>1319.37903676858</v>
      </c>
      <c r="P22" s="34" t="n">
        <f aca="false">'Balance Sheet'!O6</f>
        <v>3484.08083404735</v>
      </c>
      <c r="Q22" s="34" t="n">
        <f aca="false">'Balance Sheet'!P6</f>
        <v>6341.15417125325</v>
      </c>
      <c r="R22" s="34" t="n">
        <f aca="false">'Balance Sheet'!Q6</f>
        <v>10012.7059284714</v>
      </c>
      <c r="S22" s="34" t="n">
        <f aca="false">'Balance Sheet'!R6</f>
        <v>14501.3859979948</v>
      </c>
      <c r="T22" s="34" t="n">
        <f aca="false">'Balance Sheet'!S6</f>
        <v>19917.0663165636</v>
      </c>
      <c r="U22" s="34" t="n">
        <f aca="false">'Balance Sheet'!T6</f>
        <v>26282.023031613</v>
      </c>
    </row>
    <row r="23" customFormat="false" ht="15" hidden="false" customHeight="false" outlineLevel="0" collapsed="false">
      <c r="A23" s="6" t="s">
        <v>226</v>
      </c>
      <c r="B23" s="60" t="n">
        <f aca="false">(B22+B21)</f>
        <v>-871.78</v>
      </c>
      <c r="C23" s="60" t="n">
        <f aca="false">(C22+C21)</f>
        <v>33.8900000000003</v>
      </c>
      <c r="D23" s="60" t="n">
        <f aca="false">(D22+D21)</f>
        <v>56.8499999999999</v>
      </c>
      <c r="E23" s="60" t="n">
        <f aca="false">(E22+E21)</f>
        <v>-592.55</v>
      </c>
      <c r="F23" s="60" t="n">
        <f aca="false">(F22+F21)</f>
        <v>-11.2899999999994</v>
      </c>
      <c r="G23" s="60" t="n">
        <f aca="false">(G22+G21)</f>
        <v>80.3899999999996</v>
      </c>
      <c r="H23" s="60" t="n">
        <f aca="false">(H22+H21)</f>
        <v>221.230000000001</v>
      </c>
      <c r="I23" s="60" t="n">
        <f aca="false">(I22+I21)</f>
        <v>198.349999999999</v>
      </c>
      <c r="J23" s="60" t="n">
        <f aca="false">(J22+J21)</f>
        <v>314.809999999999</v>
      </c>
      <c r="K23" s="60" t="n">
        <f aca="false">(K22+K21)</f>
        <v>337.510000000002</v>
      </c>
      <c r="L23" s="61" t="n">
        <f aca="false">(L22+L21)</f>
        <v>600.000000000108</v>
      </c>
      <c r="M23" s="61" t="n">
        <f aca="false">(M22+M21)</f>
        <v>600.000000000533</v>
      </c>
      <c r="N23" s="61" t="n">
        <f aca="false">(N22+N21)</f>
        <v>1319.37903676858</v>
      </c>
      <c r="O23" s="61" t="n">
        <f aca="false">(O22+O21)</f>
        <v>3484.08083404735</v>
      </c>
      <c r="P23" s="61" t="n">
        <f aca="false">(P22+P21)</f>
        <v>6341.15417125325</v>
      </c>
      <c r="Q23" s="61" t="n">
        <f aca="false">(Q22+Q21)</f>
        <v>10012.7059284714</v>
      </c>
      <c r="R23" s="61" t="n">
        <f aca="false">(R22+R21)</f>
        <v>14501.3859979948</v>
      </c>
      <c r="S23" s="61" t="n">
        <f aca="false">(S22+S21)</f>
        <v>19917.0663165636</v>
      </c>
      <c r="T23" s="61" t="n">
        <f aca="false">(T22+T21)</f>
        <v>26282.023031613</v>
      </c>
      <c r="U23" s="61" t="n">
        <f aca="false">(U22+U21)</f>
        <v>33706.4745487931</v>
      </c>
    </row>
    <row r="24" customFormat="false" ht="15" hidden="false" customHeight="false" outlineLevel="0" collapsed="false">
      <c r="A24" s="28" t="s">
        <v>227</v>
      </c>
      <c r="B24" s="29"/>
      <c r="C24" s="29"/>
      <c r="D24" s="29"/>
      <c r="E24" s="29"/>
      <c r="F24" s="29"/>
      <c r="G24" s="29"/>
      <c r="H24" s="29"/>
      <c r="I24" s="29"/>
      <c r="J24" s="29"/>
      <c r="K24" s="29"/>
      <c r="L24" s="29"/>
      <c r="M24" s="29"/>
      <c r="N24" s="29"/>
      <c r="O24" s="29"/>
      <c r="P24" s="29"/>
      <c r="Q24" s="29"/>
      <c r="R24" s="29"/>
      <c r="S24" s="29"/>
      <c r="T24" s="29"/>
      <c r="U24" s="29"/>
    </row>
    <row r="25" customFormat="false" ht="15" hidden="false" customHeight="false" outlineLevel="0" collapsed="false">
      <c r="A25" s="32" t="s">
        <v>228</v>
      </c>
      <c r="B25" s="54" t="n">
        <v>102.44</v>
      </c>
      <c r="C25" s="54" t="n">
        <v>76.86</v>
      </c>
      <c r="D25" s="54" t="n">
        <v>20.98</v>
      </c>
      <c r="E25" s="54" t="n">
        <v>361.16</v>
      </c>
      <c r="F25" s="54" t="n">
        <v>285.03</v>
      </c>
      <c r="G25" s="54" t="n">
        <v>58.08</v>
      </c>
      <c r="H25" s="54" t="n">
        <v>594.88</v>
      </c>
      <c r="I25" s="54" t="n">
        <v>1348.98</v>
      </c>
      <c r="J25" s="54" t="n">
        <v>1660.9</v>
      </c>
      <c r="K25" s="54" t="n">
        <v>2667.62</v>
      </c>
      <c r="L25" s="57" t="n">
        <f aca="false">0</f>
        <v>0</v>
      </c>
      <c r="M25" s="57" t="n">
        <f aca="false">0</f>
        <v>0</v>
      </c>
      <c r="N25" s="57" t="n">
        <f aca="false">0</f>
        <v>0</v>
      </c>
      <c r="O25" s="57" t="n">
        <f aca="false">0</f>
        <v>0</v>
      </c>
      <c r="P25" s="57" t="n">
        <f aca="false">0</f>
        <v>0</v>
      </c>
      <c r="Q25" s="57" t="n">
        <f aca="false">0</f>
        <v>0</v>
      </c>
      <c r="R25" s="57" t="n">
        <f aca="false">0</f>
        <v>0</v>
      </c>
      <c r="S25" s="57" t="n">
        <f aca="false">0</f>
        <v>0</v>
      </c>
      <c r="T25" s="57" t="n">
        <f aca="false">0</f>
        <v>0</v>
      </c>
      <c r="U25" s="57" t="n">
        <f aca="false">0</f>
        <v>0</v>
      </c>
    </row>
    <row r="26" customFormat="false" ht="15" hidden="false" customHeight="false" outlineLevel="0" collapsed="false">
      <c r="A26" s="32" t="s">
        <v>229</v>
      </c>
      <c r="B26" s="54" t="n">
        <v>-43.7</v>
      </c>
      <c r="C26" s="54" t="n">
        <v>-4.02</v>
      </c>
      <c r="D26" s="54" t="n">
        <v>-37.03</v>
      </c>
      <c r="E26" s="54" t="n">
        <v>-808.56</v>
      </c>
      <c r="F26" s="54" t="n">
        <v>17.71</v>
      </c>
      <c r="G26" s="54" t="n">
        <v>56.03</v>
      </c>
      <c r="H26" s="54" t="n">
        <v>-102.63</v>
      </c>
      <c r="I26" s="54" t="n">
        <v>-508.21</v>
      </c>
      <c r="J26" s="54" t="n">
        <v>-923.31</v>
      </c>
      <c r="K26" s="54" t="n">
        <v>-1577.12</v>
      </c>
      <c r="L26" s="57" t="n">
        <f aca="false">0</f>
        <v>0</v>
      </c>
      <c r="M26" s="57" t="n">
        <f aca="false">0</f>
        <v>0</v>
      </c>
      <c r="N26" s="57" t="n">
        <f aca="false">0</f>
        <v>0</v>
      </c>
      <c r="O26" s="57" t="n">
        <f aca="false">0</f>
        <v>0</v>
      </c>
      <c r="P26" s="57" t="n">
        <f aca="false">0</f>
        <v>0</v>
      </c>
      <c r="Q26" s="57" t="n">
        <f aca="false">0</f>
        <v>0</v>
      </c>
      <c r="R26" s="57" t="n">
        <f aca="false">0</f>
        <v>0</v>
      </c>
      <c r="S26" s="57" t="n">
        <f aca="false">0</f>
        <v>0</v>
      </c>
      <c r="T26" s="57" t="n">
        <f aca="false">0</f>
        <v>0</v>
      </c>
      <c r="U26" s="57" t="n">
        <f aca="false">0</f>
        <v>0</v>
      </c>
    </row>
    <row r="27" customFormat="false" ht="15" hidden="false" customHeight="false" outlineLevel="0" collapsed="false">
      <c r="A27" s="32" t="s">
        <v>230</v>
      </c>
      <c r="B27" s="54" t="n">
        <v>-51.36</v>
      </c>
      <c r="C27" s="54" t="n">
        <v>-74.31</v>
      </c>
      <c r="D27" s="54" t="n">
        <v>37.47</v>
      </c>
      <c r="E27" s="54" t="n">
        <v>451.94</v>
      </c>
      <c r="F27" s="54" t="n">
        <v>-283.11</v>
      </c>
      <c r="G27" s="54" t="n">
        <v>-107.98</v>
      </c>
      <c r="H27" s="54" t="n">
        <v>-491.41</v>
      </c>
      <c r="I27" s="54" t="n">
        <v>-629.45</v>
      </c>
      <c r="J27" s="54" t="n">
        <v>-693.67</v>
      </c>
      <c r="K27" s="54" t="n">
        <v>-1147.61</v>
      </c>
      <c r="L27" s="57" t="n">
        <f aca="false">0</f>
        <v>0</v>
      </c>
      <c r="M27" s="57" t="n">
        <f aca="false">0</f>
        <v>0</v>
      </c>
      <c r="N27" s="57" t="n">
        <f aca="false">0</f>
        <v>0</v>
      </c>
      <c r="O27" s="57" t="n">
        <f aca="false">0</f>
        <v>0</v>
      </c>
      <c r="P27" s="57" t="n">
        <f aca="false">0</f>
        <v>0</v>
      </c>
      <c r="Q27" s="57" t="n">
        <f aca="false">0</f>
        <v>0</v>
      </c>
      <c r="R27" s="57" t="n">
        <f aca="false">0</f>
        <v>0</v>
      </c>
      <c r="S27" s="57" t="n">
        <f aca="false">0</f>
        <v>0</v>
      </c>
      <c r="T27" s="57" t="n">
        <f aca="false">0</f>
        <v>0</v>
      </c>
      <c r="U27" s="57" t="n">
        <f aca="false">0</f>
        <v>0</v>
      </c>
    </row>
    <row r="28" customFormat="false" ht="15" hidden="false" customHeight="false" outlineLevel="0" collapsed="false">
      <c r="A28" s="32" t="s">
        <v>231</v>
      </c>
      <c r="B28" s="64" t="n">
        <f aca="false">(B9-B25)</f>
        <v>-247.29</v>
      </c>
      <c r="C28" s="64" t="n">
        <f aca="false">(C9-C25)</f>
        <v>17.6500000000001</v>
      </c>
      <c r="D28" s="64" t="n">
        <f aca="false">(D9-D25)</f>
        <v>-17.5900000000001</v>
      </c>
      <c r="E28" s="64" t="n">
        <f aca="false">(E9-E25)</f>
        <v>2113.59</v>
      </c>
      <c r="F28" s="64" t="n">
        <f aca="false">(F9-F25)</f>
        <v>-2370.43</v>
      </c>
      <c r="G28" s="64" t="n">
        <f aca="false">(G9-G25)</f>
        <v>-23.5699999999998</v>
      </c>
      <c r="H28" s="64" t="n">
        <f aca="false">(H9-H25)</f>
        <v>36.8899999999999</v>
      </c>
      <c r="I28" s="64" t="n">
        <f aca="false">(I9-I25)</f>
        <v>610.28</v>
      </c>
      <c r="J28" s="64" t="n">
        <f aca="false">(J9-J25)</f>
        <v>410.229999999999</v>
      </c>
      <c r="K28" s="64" t="n">
        <f aca="false">(K9-K25)</f>
        <v>112.140000000002</v>
      </c>
      <c r="L28" s="65" t="n">
        <f aca="false">(L9-L25)</f>
        <v>4150.49660133709</v>
      </c>
      <c r="M28" s="65" t="n">
        <f aca="false">(M9-M25)</f>
        <v>4384.7139783612</v>
      </c>
      <c r="N28" s="65" t="n">
        <f aca="false">(N9-N25)</f>
        <v>5217.67055631728</v>
      </c>
      <c r="O28" s="65" t="n">
        <f aca="false">(O9-O25)</f>
        <v>6089.08191036479</v>
      </c>
      <c r="P28" s="65" t="n">
        <f aca="false">(P9-P25)</f>
        <v>7029.26677224174</v>
      </c>
      <c r="Q28" s="65" t="n">
        <f aca="false">(Q9-Q25)</f>
        <v>8037.72406625021</v>
      </c>
      <c r="R28" s="65" t="n">
        <f aca="false">(R9-R25)</f>
        <v>9106.7787492892</v>
      </c>
      <c r="S28" s="65" t="n">
        <f aca="false">(S9-S25)</f>
        <v>10233.5067322929</v>
      </c>
      <c r="T28" s="65" t="n">
        <f aca="false">(T9-T25)</f>
        <v>11423.9919677778</v>
      </c>
      <c r="U28" s="65" t="n">
        <f aca="false">(U9-U25)</f>
        <v>12712.7497082869</v>
      </c>
    </row>
  </sheetData>
  <sheetProtection sheet="true" formatColumns="false" formatRows="false"/>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2" min="3" style="0" width="13"/>
  </cols>
  <sheetData>
    <row r="1" customFormat="false" ht="17.35" hidden="false" customHeight="false" outlineLevel="0" collapsed="false">
      <c r="A1" s="1" t="s">
        <v>232</v>
      </c>
    </row>
    <row r="2" customFormat="false" ht="15" hidden="false" customHeight="false" outlineLevel="0" collapsed="false">
      <c r="A2" s="2" t="s">
        <v>107</v>
      </c>
    </row>
    <row r="4" customFormat="false" ht="15" hidden="false" customHeight="false" outlineLevel="0" collapsed="false">
      <c r="A4" s="5" t="s">
        <v>108</v>
      </c>
      <c r="B4" s="27" t="s">
        <v>109</v>
      </c>
      <c r="C4" s="27" t="s">
        <v>110</v>
      </c>
      <c r="D4" s="27" t="s">
        <v>111</v>
      </c>
      <c r="E4" s="27" t="s">
        <v>62</v>
      </c>
      <c r="F4" s="27" t="s">
        <v>66</v>
      </c>
      <c r="G4" s="27" t="s">
        <v>112</v>
      </c>
      <c r="H4" s="27" t="s">
        <v>113</v>
      </c>
      <c r="I4" s="27" t="s">
        <v>114</v>
      </c>
      <c r="J4" s="27" t="s">
        <v>64</v>
      </c>
      <c r="K4" s="27" t="s">
        <v>5</v>
      </c>
      <c r="L4" s="27" t="s">
        <v>6</v>
      </c>
      <c r="M4" s="27" t="s">
        <v>7</v>
      </c>
      <c r="N4" s="27" t="s">
        <v>69</v>
      </c>
      <c r="O4" s="27" t="s">
        <v>115</v>
      </c>
      <c r="P4" s="27" t="s">
        <v>116</v>
      </c>
      <c r="Q4" s="27" t="s">
        <v>117</v>
      </c>
      <c r="R4" s="27" t="s">
        <v>118</v>
      </c>
      <c r="S4" s="27" t="s">
        <v>119</v>
      </c>
      <c r="T4" s="27" t="s">
        <v>55</v>
      </c>
      <c r="U4" s="27" t="s">
        <v>57</v>
      </c>
    </row>
    <row r="5" customFormat="false" ht="15" hidden="false" customHeight="false" outlineLevel="0" collapsed="false">
      <c r="A5" s="28" t="s">
        <v>233</v>
      </c>
      <c r="B5" s="29"/>
      <c r="C5" s="29"/>
      <c r="D5" s="29"/>
      <c r="E5" s="29"/>
      <c r="F5" s="29"/>
      <c r="G5" s="29"/>
      <c r="H5" s="29"/>
      <c r="I5" s="29"/>
      <c r="J5" s="29"/>
      <c r="K5" s="29"/>
      <c r="L5" s="29"/>
      <c r="M5" s="29"/>
      <c r="N5" s="29"/>
      <c r="O5" s="29"/>
      <c r="P5" s="29"/>
      <c r="Q5" s="29"/>
      <c r="R5" s="29"/>
      <c r="S5" s="29"/>
      <c r="T5" s="29"/>
      <c r="U5" s="29"/>
    </row>
    <row r="6" customFormat="false" ht="15" hidden="false" customHeight="false" outlineLevel="0" collapsed="false">
      <c r="A6" s="32" t="s">
        <v>234</v>
      </c>
      <c r="B6" s="51" t="n">
        <f aca="false">0</f>
        <v>0</v>
      </c>
      <c r="C6" s="9" t="n">
        <f aca="false">'Balance Sheet'!B10</f>
        <v>548.71</v>
      </c>
      <c r="D6" s="9" t="n">
        <f aca="false">'Balance Sheet'!C10</f>
        <v>612.53</v>
      </c>
      <c r="E6" s="9" t="n">
        <f aca="false">'Balance Sheet'!D10</f>
        <v>662.18</v>
      </c>
      <c r="F6" s="9" t="n">
        <f aca="false">'Balance Sheet'!E10</f>
        <v>2738.43</v>
      </c>
      <c r="G6" s="9" t="n">
        <f aca="false">'Balance Sheet'!F10</f>
        <v>3053.82</v>
      </c>
      <c r="H6" s="9" t="n">
        <f aca="false">'Balance Sheet'!G10</f>
        <v>4686.71</v>
      </c>
      <c r="I6" s="9" t="n">
        <f aca="false">'Balance Sheet'!H10</f>
        <v>4526.95</v>
      </c>
      <c r="J6" s="9" t="n">
        <f aca="false">'Balance Sheet'!I10</f>
        <v>2449.92</v>
      </c>
      <c r="K6" s="9" t="n">
        <f aca="false">'Balance Sheet'!J10</f>
        <v>3895.13</v>
      </c>
      <c r="L6" s="34" t="n">
        <f aca="false">'Balance Sheet'!K10</f>
        <v>5518.74</v>
      </c>
      <c r="M6" s="34" t="n">
        <f aca="false">'Balance Sheet'!L10</f>
        <v>6773.03529160632</v>
      </c>
      <c r="N6" s="34" t="n">
        <f aca="false">'Balance Sheet'!M10</f>
        <v>7924.82334249835</v>
      </c>
      <c r="O6" s="34" t="n">
        <f aca="false">'Balance Sheet'!N10</f>
        <v>9004.04381591781</v>
      </c>
      <c r="P6" s="34" t="n">
        <f aca="false">'Balance Sheet'!O10</f>
        <v>9964.91862282484</v>
      </c>
      <c r="Q6" s="34" t="n">
        <f aca="false">'Balance Sheet'!P10</f>
        <v>10837.5042963124</v>
      </c>
      <c r="R6" s="34" t="n">
        <f aca="false">'Balance Sheet'!Q10</f>
        <v>11589.4001357303</v>
      </c>
      <c r="S6" s="34" t="n">
        <f aca="false">'Balance Sheet'!R10</f>
        <v>12304.3618821929</v>
      </c>
      <c r="T6" s="34" t="n">
        <f aca="false">'Balance Sheet'!S10</f>
        <v>12939.5446328341</v>
      </c>
      <c r="U6" s="34" t="n">
        <f aca="false">'Balance Sheet'!T10</f>
        <v>13546.8601670909</v>
      </c>
    </row>
    <row r="7" customFormat="false" ht="15" hidden="false" customHeight="false" outlineLevel="0" collapsed="false">
      <c r="A7" s="32" t="s">
        <v>216</v>
      </c>
      <c r="B7" s="54" t="n">
        <v>0</v>
      </c>
      <c r="C7" s="54" t="n">
        <v>109.35</v>
      </c>
      <c r="D7" s="54" t="n">
        <v>101.32</v>
      </c>
      <c r="E7" s="54" t="n">
        <v>2323.49</v>
      </c>
      <c r="F7" s="54" t="n">
        <v>572.69</v>
      </c>
      <c r="G7" s="54" t="n">
        <v>1943.71</v>
      </c>
      <c r="H7" s="54" t="n">
        <v>333.93</v>
      </c>
      <c r="I7" s="54" t="n">
        <v>-1405.92</v>
      </c>
      <c r="J7" s="54" t="n">
        <v>2340.39</v>
      </c>
      <c r="K7" s="54" t="n">
        <v>2984.8</v>
      </c>
      <c r="L7" s="34" t="n">
        <f aca="false">('Income Statement'!L6*Drivers!L11)</f>
        <v>2842.034384644</v>
      </c>
      <c r="M7" s="34" t="n">
        <f aca="false">('Income Statement'!M6*Drivers!M11)</f>
        <v>3100.38735272672</v>
      </c>
      <c r="N7" s="34" t="n">
        <f aca="false">('Income Statement'!N6*Drivers!N11)</f>
        <v>3359.18869556838</v>
      </c>
      <c r="O7" s="34" t="n">
        <f aca="false">('Income Statement'!O6*Drivers!O11)</f>
        <v>3551.33428895489</v>
      </c>
      <c r="P7" s="34" t="n">
        <f aca="false">('Income Statement'!P6*Drivers!P11)</f>
        <v>3739.48841875159</v>
      </c>
      <c r="Q7" s="34" t="n">
        <f aca="false">('Income Statement'!Q6*Drivers!Q11)</f>
        <v>3869.84110268793</v>
      </c>
      <c r="R7" s="34" t="n">
        <f aca="false">('Income Statement'!R6*Drivers!R11)</f>
        <v>4049.22711507119</v>
      </c>
      <c r="S7" s="34" t="n">
        <f aca="false">('Income Statement'!S6*Drivers!S11)</f>
        <v>4175.14230214037</v>
      </c>
      <c r="T7" s="34" t="n">
        <f aca="false">('Income Statement'!T6*Drivers!T11)</f>
        <v>4330.01688631476</v>
      </c>
      <c r="U7" s="34" t="n">
        <f aca="false">('Income Statement'!U6*Drivers!U11)</f>
        <v>4462.87199266192</v>
      </c>
    </row>
    <row r="8" customFormat="false" ht="15" hidden="false" customHeight="false" outlineLevel="0" collapsed="false">
      <c r="A8" s="32" t="s">
        <v>235</v>
      </c>
      <c r="B8" s="9" t="n">
        <f aca="false">'Income Statement'!B11</f>
        <v>41.29</v>
      </c>
      <c r="C8" s="9" t="n">
        <f aca="false">'Income Statement'!C11</f>
        <v>45.53</v>
      </c>
      <c r="D8" s="9" t="n">
        <f aca="false">'Income Statement'!D11</f>
        <v>51.67</v>
      </c>
      <c r="E8" s="9" t="n">
        <f aca="false">'Income Statement'!E11</f>
        <v>247.24</v>
      </c>
      <c r="F8" s="9" t="n">
        <f aca="false">'Income Statement'!F11</f>
        <v>257.3</v>
      </c>
      <c r="G8" s="9" t="n">
        <f aca="false">'Income Statement'!G11</f>
        <v>310.82</v>
      </c>
      <c r="H8" s="9" t="n">
        <f aca="false">'Income Statement'!H11</f>
        <v>493.69</v>
      </c>
      <c r="I8" s="9" t="n">
        <f aca="false">'Income Statement'!I11</f>
        <v>671.11</v>
      </c>
      <c r="J8" s="9" t="n">
        <f aca="false">'Income Statement'!J11</f>
        <v>895.18</v>
      </c>
      <c r="K8" s="9" t="n">
        <f aca="false">'Income Statement'!K11</f>
        <v>1361.19</v>
      </c>
      <c r="L8" s="34" t="n">
        <f aca="false">'Income Statement'!L11</f>
        <v>1587.73909303768</v>
      </c>
      <c r="M8" s="34" t="n">
        <f aca="false">'Income Statement'!M11</f>
        <v>1948.59930183469</v>
      </c>
      <c r="N8" s="34" t="n">
        <f aca="false">'Income Statement'!N11</f>
        <v>2279.96822214892</v>
      </c>
      <c r="O8" s="34" t="n">
        <f aca="false">'Income Statement'!O11</f>
        <v>2590.45948204787</v>
      </c>
      <c r="P8" s="34" t="n">
        <f aca="false">'Income Statement'!P11</f>
        <v>2866.90274526398</v>
      </c>
      <c r="Q8" s="34" t="n">
        <f aca="false">'Income Statement'!Q11</f>
        <v>3117.94526327006</v>
      </c>
      <c r="R8" s="34" t="n">
        <f aca="false">'Income Statement'!R11</f>
        <v>3334.26536860862</v>
      </c>
      <c r="S8" s="34" t="n">
        <f aca="false">'Income Statement'!S11</f>
        <v>3539.95955149912</v>
      </c>
      <c r="T8" s="34" t="n">
        <f aca="false">'Income Statement'!T11</f>
        <v>3722.701352058</v>
      </c>
      <c r="U8" s="34" t="n">
        <f aca="false">'Income Statement'!U11</f>
        <v>3897.42576660707</v>
      </c>
    </row>
    <row r="9" customFormat="false" ht="15" hidden="false" customHeight="false" outlineLevel="0" collapsed="false">
      <c r="A9" s="6" t="s">
        <v>236</v>
      </c>
      <c r="B9" s="60" t="n">
        <f aca="false">((B6+B7)-B8)</f>
        <v>-41.29</v>
      </c>
      <c r="C9" s="60" t="n">
        <f aca="false">((C6+C7)-C8)</f>
        <v>612.53</v>
      </c>
      <c r="D9" s="60" t="n">
        <f aca="false">((D6+D7)-D8)</f>
        <v>662.18</v>
      </c>
      <c r="E9" s="60" t="n">
        <f aca="false">((E6+E7)-E8)</f>
        <v>2738.43</v>
      </c>
      <c r="F9" s="60" t="n">
        <f aca="false">((F6+F7)-F8)</f>
        <v>3053.82</v>
      </c>
      <c r="G9" s="60" t="n">
        <f aca="false">((G6+G7)-G8)</f>
        <v>4686.71</v>
      </c>
      <c r="H9" s="60" t="n">
        <f aca="false">((H6+H7)-H8)</f>
        <v>4526.95</v>
      </c>
      <c r="I9" s="60" t="n">
        <f aca="false">((I6+I7)-I8)</f>
        <v>2449.92</v>
      </c>
      <c r="J9" s="60" t="n">
        <f aca="false">((J6+J7)-J8)</f>
        <v>3895.13</v>
      </c>
      <c r="K9" s="60" t="n">
        <f aca="false">((K6+K7)-K8)</f>
        <v>5518.74</v>
      </c>
      <c r="L9" s="61" t="n">
        <f aca="false">((L6+L7)-L8)</f>
        <v>6773.03529160632</v>
      </c>
      <c r="M9" s="61" t="n">
        <f aca="false">((M6+M7)-M8)</f>
        <v>7924.82334249835</v>
      </c>
      <c r="N9" s="61" t="n">
        <f aca="false">((N6+N7)-N8)</f>
        <v>9004.04381591781</v>
      </c>
      <c r="O9" s="61" t="n">
        <f aca="false">((O6+O7)-O8)</f>
        <v>9964.91862282484</v>
      </c>
      <c r="P9" s="61" t="n">
        <f aca="false">((P6+P7)-P8)</f>
        <v>10837.5042963124</v>
      </c>
      <c r="Q9" s="61" t="n">
        <f aca="false">((Q6+Q7)-Q8)</f>
        <v>11589.4001357303</v>
      </c>
      <c r="R9" s="61" t="n">
        <f aca="false">((R6+R7)-R8)</f>
        <v>12304.3618821929</v>
      </c>
      <c r="S9" s="61" t="n">
        <f aca="false">((S6+S7)-S8)</f>
        <v>12939.5446328341</v>
      </c>
      <c r="T9" s="61" t="n">
        <f aca="false">((T6+T7)-T8)</f>
        <v>13546.8601670909</v>
      </c>
      <c r="U9" s="61" t="n">
        <f aca="false">((U6+U7)-U8)</f>
        <v>14112.3063931457</v>
      </c>
    </row>
    <row r="10" customFormat="false" ht="15" hidden="false" customHeight="false" outlineLevel="0" collapsed="false">
      <c r="A10" s="28" t="s">
        <v>165</v>
      </c>
      <c r="B10" s="29"/>
      <c r="C10" s="29"/>
      <c r="D10" s="29"/>
      <c r="E10" s="29"/>
      <c r="F10" s="29"/>
      <c r="G10" s="29"/>
      <c r="H10" s="29"/>
      <c r="I10" s="29"/>
      <c r="J10" s="29"/>
      <c r="K10" s="29"/>
      <c r="L10" s="29"/>
      <c r="M10" s="29"/>
      <c r="N10" s="29"/>
      <c r="O10" s="29"/>
      <c r="P10" s="29"/>
      <c r="Q10" s="29"/>
      <c r="R10" s="29"/>
      <c r="S10" s="29"/>
      <c r="T10" s="29"/>
      <c r="U10" s="29"/>
    </row>
    <row r="11" customFormat="false" ht="15" hidden="false" customHeight="false" outlineLevel="0" collapsed="false">
      <c r="A11" s="6" t="s">
        <v>237</v>
      </c>
      <c r="B11" s="30" t="n">
        <f aca="false">(((('Balance Sheet'!B7+'Balance Sheet'!B8)+'Balance Sheet'!B9)-'Balance Sheet'!B20)-'Balance Sheet'!B21)</f>
        <v>271</v>
      </c>
      <c r="C11" s="30" t="n">
        <f aca="false">(((('Balance Sheet'!C7+'Balance Sheet'!C8)+'Balance Sheet'!C9)-'Balance Sheet'!C20)-'Balance Sheet'!C21)</f>
        <v>308.99</v>
      </c>
      <c r="D11" s="30" t="n">
        <f aca="false">(((('Balance Sheet'!D7+'Balance Sheet'!D8)+'Balance Sheet'!D9)-'Balance Sheet'!D20)-'Balance Sheet'!D21)</f>
        <v>454.23</v>
      </c>
      <c r="E11" s="30" t="n">
        <f aca="false">(((('Balance Sheet'!E7+'Balance Sheet'!E8)+'Balance Sheet'!E9)-'Balance Sheet'!E20)-'Balance Sheet'!E21)</f>
        <v>-1650.43</v>
      </c>
      <c r="F11" s="30" t="n">
        <f aca="false">(((('Balance Sheet'!F7+'Balance Sheet'!F8)+'Balance Sheet'!F9)-'Balance Sheet'!F20)-'Balance Sheet'!F21)</f>
        <v>546.1</v>
      </c>
      <c r="G11" s="30" t="n">
        <f aca="false">(((('Balance Sheet'!G7+'Balance Sheet'!G8)+'Balance Sheet'!G9)-'Balance Sheet'!G20)-'Balance Sheet'!G21)</f>
        <v>928.24</v>
      </c>
      <c r="H11" s="30" t="n">
        <f aca="false">(((('Balance Sheet'!H7+'Balance Sheet'!H8)+'Balance Sheet'!H9)-'Balance Sheet'!H20)-'Balance Sheet'!H21)</f>
        <v>1234.79</v>
      </c>
      <c r="I11" s="30" t="n">
        <f aca="false">(((('Balance Sheet'!I7+'Balance Sheet'!I8)+'Balance Sheet'!I9)-'Balance Sheet'!I20)-'Balance Sheet'!I21)</f>
        <v>1433.44</v>
      </c>
      <c r="J11" s="30" t="n">
        <f aca="false">(((('Balance Sheet'!J7+'Balance Sheet'!J8)+'Balance Sheet'!J9)-'Balance Sheet'!J20)-'Balance Sheet'!J21)</f>
        <v>1804.21</v>
      </c>
      <c r="K11" s="30" t="n">
        <f aca="false">(((('Balance Sheet'!K7+'Balance Sheet'!K8)+'Balance Sheet'!K9)-'Balance Sheet'!K20)-'Balance Sheet'!K21)</f>
        <v>2105.29</v>
      </c>
      <c r="L11" s="31" t="n">
        <f aca="false">(((('Balance Sheet'!L7+'Balance Sheet'!L8)+'Balance Sheet'!L9)-'Balance Sheet'!L20)-'Balance Sheet'!L21)</f>
        <v>1840.12486762611</v>
      </c>
      <c r="M11" s="31" t="n">
        <f aca="false">(((('Balance Sheet'!M7+'Balance Sheet'!M8)+'Balance Sheet'!M9)-'Balance Sheet'!M20)-'Balance Sheet'!M21)</f>
        <v>2133.99280898599</v>
      </c>
      <c r="N11" s="31" t="n">
        <f aca="false">(((('Balance Sheet'!N7+'Balance Sheet'!N8)+'Balance Sheet'!N9)-'Balance Sheet'!N20)-'Balance Sheet'!N21)</f>
        <v>2467.7492843114</v>
      </c>
      <c r="O11" s="31" t="n">
        <f aca="false">(((('Balance Sheet'!O7+'Balance Sheet'!O8)+'Balance Sheet'!O9)-'Balance Sheet'!O20)-'Balance Sheet'!O21)</f>
        <v>2826.31325532185</v>
      </c>
      <c r="P11" s="31" t="n">
        <f aca="false">(((('Balance Sheet'!P7+'Balance Sheet'!P8)+'Balance Sheet'!P9)-'Balance Sheet'!P20)-'Balance Sheet'!P21)</f>
        <v>3210.12659539456</v>
      </c>
      <c r="Q11" s="31" t="n">
        <f aca="false">(((('Balance Sheet'!Q7+'Balance Sheet'!Q8)+'Balance Sheet'!Q9)-'Balance Sheet'!Q20)-'Balance Sheet'!Q21)</f>
        <v>3605.61419194717</v>
      </c>
      <c r="R11" s="31" t="n">
        <f aca="false">(((('Balance Sheet'!R7+'Balance Sheet'!R8)+'Balance Sheet'!R9)-'Balance Sheet'!R20)-'Balance Sheet'!R21)</f>
        <v>4017.73589408673</v>
      </c>
      <c r="S11" s="31" t="n">
        <f aca="false">(((('Balance Sheet'!S7+'Balance Sheet'!S8)+'Balance Sheet'!S9)-'Balance Sheet'!S20)-'Balance Sheet'!S21)</f>
        <v>4430.35737040944</v>
      </c>
      <c r="T11" s="31" t="n">
        <f aca="false">(((('Balance Sheet'!T7+'Balance Sheet'!T8)+'Balance Sheet'!T9)-'Balance Sheet'!T20)-'Balance Sheet'!T21)</f>
        <v>4864.9754284466</v>
      </c>
      <c r="U11" s="31" t="n">
        <f aca="false">(((('Balance Sheet'!U7+'Balance Sheet'!U8)+'Balance Sheet'!U9)-'Balance Sheet'!U20)-'Balance Sheet'!U21)</f>
        <v>5327.63459169187</v>
      </c>
    </row>
    <row r="12" customFormat="false" ht="15" hidden="false" customHeight="false" outlineLevel="0" collapsed="false">
      <c r="A12" s="32" t="s">
        <v>238</v>
      </c>
      <c r="B12" s="51" t="n">
        <f aca="false">(B11-0)</f>
        <v>271</v>
      </c>
      <c r="C12" s="51" t="n">
        <f aca="false">(C11-B11)</f>
        <v>37.9899999999999</v>
      </c>
      <c r="D12" s="51" t="n">
        <f aca="false">(D11-C11)</f>
        <v>145.24</v>
      </c>
      <c r="E12" s="51" t="n">
        <f aca="false">(E11-D11)</f>
        <v>-2104.66</v>
      </c>
      <c r="F12" s="51" t="n">
        <f aca="false">(F11-E11)</f>
        <v>2196.53</v>
      </c>
      <c r="G12" s="51" t="n">
        <f aca="false">(G11-F11)</f>
        <v>382.14</v>
      </c>
      <c r="H12" s="51" t="n">
        <f aca="false">(H11-G11)</f>
        <v>306.55</v>
      </c>
      <c r="I12" s="51" t="n">
        <f aca="false">(I11-H11)</f>
        <v>198.65</v>
      </c>
      <c r="J12" s="51" t="n">
        <f aca="false">(J11-I11)</f>
        <v>370.770000000001</v>
      </c>
      <c r="K12" s="51" t="n">
        <f aca="false">(K11-J11)</f>
        <v>301.079999999998</v>
      </c>
      <c r="L12" s="57" t="n">
        <f aca="false">(L11-K11)</f>
        <v>-265.165132373894</v>
      </c>
      <c r="M12" s="57" t="n">
        <f aca="false">(M11-L11)</f>
        <v>293.867941359889</v>
      </c>
      <c r="N12" s="57" t="n">
        <f aca="false">(N11-M11)</f>
        <v>333.756475325409</v>
      </c>
      <c r="O12" s="57" t="n">
        <f aca="false">(O11-N11)</f>
        <v>358.563971010448</v>
      </c>
      <c r="P12" s="57" t="n">
        <f aca="false">(P11-O11)</f>
        <v>383.813340072706</v>
      </c>
      <c r="Q12" s="57" t="n">
        <f aca="false">(Q11-P11)</f>
        <v>395.487596552609</v>
      </c>
      <c r="R12" s="57" t="n">
        <f aca="false">(R11-Q11)</f>
        <v>412.121702139562</v>
      </c>
      <c r="S12" s="57" t="n">
        <f aca="false">(S11-R11)</f>
        <v>412.621476322707</v>
      </c>
      <c r="T12" s="57" t="n">
        <f aca="false">(T11-S11)</f>
        <v>434.618058037167</v>
      </c>
      <c r="U12" s="57" t="n">
        <f aca="false">(U11-T11)</f>
        <v>462.659163245271</v>
      </c>
    </row>
    <row r="13" customFormat="false" ht="15" hidden="false" customHeight="false" outlineLevel="0" collapsed="false">
      <c r="A13" s="32" t="s">
        <v>239</v>
      </c>
      <c r="B13" s="49" t="n">
        <f aca="false">(IFERROR((B11)/('Income Statement'!B6),0)*365)</f>
        <v>54.5755997439915</v>
      </c>
      <c r="C13" s="49" t="n">
        <f aca="false">(IFERROR((C11)/('Income Statement'!C6),0)*365)</f>
        <v>52.2750595607798</v>
      </c>
      <c r="D13" s="49" t="n">
        <f aca="false">(IFERROR((D11)/('Income Statement'!D6),0)*365)</f>
        <v>63.0337725834905</v>
      </c>
      <c r="E13" s="49" t="n">
        <f aca="false">(IFERROR((E11)/('Income Statement'!E6),0)*365)</f>
        <v>-172.808492877182</v>
      </c>
      <c r="F13" s="49" t="n">
        <f aca="false">(IFERROR((F11)/('Income Statement'!F6),0)*365)</f>
        <v>76.8721846846847</v>
      </c>
      <c r="G13" s="49" t="n">
        <f aca="false">(IFERROR((G11)/('Income Statement'!G6),0)*365)</f>
        <v>75.3237202146722</v>
      </c>
      <c r="H13" s="49" t="n">
        <f aca="false">(IFERROR((H11)/('Income Statement'!H6),0)*365)</f>
        <v>54.6829964013676</v>
      </c>
      <c r="I13" s="49" t="n">
        <f aca="false">(IFERROR((I11)/('Income Statement'!I6),0)*365)</f>
        <v>42.2788645919107</v>
      </c>
      <c r="J13" s="49" t="n">
        <f aca="false">(IFERROR((J11)/('Income Statement'!J6),0)*365)</f>
        <v>38.4331274537326</v>
      </c>
      <c r="K13" s="49" t="n">
        <f aca="false">(IFERROR((K11)/('Income Statement'!K6),0)*365)</f>
        <v>38.2795063915342</v>
      </c>
      <c r="L13" s="66" t="n">
        <f aca="false">(IFERROR((L11)/('Income Statement'!L6),0)*365)</f>
        <v>27.8864247656117</v>
      </c>
      <c r="M13" s="66" t="n">
        <f aca="false">(IFERROR((M11)/('Income Statement'!M6),0)*365)</f>
        <v>27.8864247656117</v>
      </c>
      <c r="N13" s="66" t="n">
        <f aca="false">(IFERROR((N11)/('Income Statement'!N6),0)*365)</f>
        <v>27.8864247656117</v>
      </c>
      <c r="O13" s="66" t="n">
        <f aca="false">(IFERROR((O11)/('Income Statement'!O6),0)*365)</f>
        <v>27.8864247656117</v>
      </c>
      <c r="P13" s="66" t="n">
        <f aca="false">(IFERROR((P11)/('Income Statement'!P6),0)*365)</f>
        <v>27.8864247656117</v>
      </c>
      <c r="Q13" s="66" t="n">
        <f aca="false">(IFERROR((Q11)/('Income Statement'!Q6),0)*365)</f>
        <v>27.8864247656117</v>
      </c>
      <c r="R13" s="66" t="n">
        <f aca="false">(IFERROR((R11)/('Income Statement'!R6),0)*365)</f>
        <v>27.8864247656117</v>
      </c>
      <c r="S13" s="66" t="n">
        <f aca="false">(IFERROR((S11)/('Income Statement'!S6),0)*365)</f>
        <v>27.8864247656117</v>
      </c>
      <c r="T13" s="66" t="n">
        <f aca="false">(IFERROR((T11)/('Income Statement'!T6),0)*365)</f>
        <v>27.8864247656117</v>
      </c>
      <c r="U13" s="66" t="n">
        <f aca="false">(IFERROR((U11)/('Income Statement'!U6),0)*365)</f>
        <v>27.8864247656117</v>
      </c>
    </row>
    <row r="14" customFormat="false" ht="15" hidden="false" customHeight="false" outlineLevel="0" collapsed="false">
      <c r="A14" s="28" t="s">
        <v>240</v>
      </c>
      <c r="B14" s="29"/>
      <c r="C14" s="29"/>
      <c r="D14" s="29"/>
      <c r="E14" s="29"/>
      <c r="F14" s="29"/>
      <c r="G14" s="29"/>
      <c r="H14" s="29"/>
      <c r="I14" s="29"/>
      <c r="J14" s="29"/>
      <c r="K14" s="29"/>
      <c r="L14" s="29"/>
      <c r="M14" s="29"/>
      <c r="N14" s="29"/>
      <c r="O14" s="29"/>
      <c r="P14" s="29"/>
      <c r="Q14" s="29"/>
      <c r="R14" s="29"/>
      <c r="S14" s="29"/>
      <c r="T14" s="29"/>
      <c r="U14" s="29"/>
    </row>
    <row r="15" customFormat="false" ht="15" hidden="false" customHeight="false" outlineLevel="0" collapsed="false">
      <c r="A15" s="32" t="s">
        <v>241</v>
      </c>
      <c r="B15" s="51" t="n">
        <f aca="false">0</f>
        <v>0</v>
      </c>
      <c r="C15" s="9" t="n">
        <f aca="false">'Balance Sheet'!B17</f>
        <v>391.74</v>
      </c>
      <c r="D15" s="9" t="n">
        <f aca="false">'Balance Sheet'!C17</f>
        <v>391.43</v>
      </c>
      <c r="E15" s="9" t="n">
        <f aca="false">'Balance Sheet'!D17</f>
        <v>494.14</v>
      </c>
      <c r="F15" s="9" t="n">
        <f aca="false">'Balance Sheet'!E17</f>
        <v>299.74</v>
      </c>
      <c r="G15" s="9" t="n">
        <f aca="false">'Balance Sheet'!F17</f>
        <v>2963.63</v>
      </c>
      <c r="H15" s="9" t="n">
        <f aca="false">'Balance Sheet'!G17</f>
        <v>4725.36</v>
      </c>
      <c r="I15" s="9" t="n">
        <f aca="false">'Balance Sheet'!H17</f>
        <v>4464.14</v>
      </c>
      <c r="J15" s="9" t="n">
        <f aca="false">'Balance Sheet'!I17</f>
        <v>1752.99</v>
      </c>
      <c r="K15" s="9" t="n">
        <f aca="false">'Balance Sheet'!J17</f>
        <v>2237.19</v>
      </c>
      <c r="L15" s="34" t="n">
        <f aca="false">'Balance Sheet'!K17</f>
        <v>2561.25</v>
      </c>
      <c r="M15" s="34" t="n">
        <f aca="false">'Balance Sheet'!L17</f>
        <v>1206.8</v>
      </c>
      <c r="N15" s="34" t="n">
        <f aca="false">'Balance Sheet'!M17</f>
        <v>506.8</v>
      </c>
      <c r="O15" s="34" t="n">
        <f aca="false">'Balance Sheet'!N17</f>
        <v>0</v>
      </c>
      <c r="P15" s="34" t="n">
        <f aca="false">'Balance Sheet'!O17</f>
        <v>0</v>
      </c>
      <c r="Q15" s="34" t="n">
        <f aca="false">'Balance Sheet'!P17</f>
        <v>0</v>
      </c>
      <c r="R15" s="34" t="n">
        <f aca="false">'Balance Sheet'!Q17</f>
        <v>0</v>
      </c>
      <c r="S15" s="34" t="n">
        <f aca="false">'Balance Sheet'!R17</f>
        <v>0</v>
      </c>
      <c r="T15" s="34" t="n">
        <f aca="false">'Balance Sheet'!S17</f>
        <v>0</v>
      </c>
      <c r="U15" s="34" t="n">
        <f aca="false">'Balance Sheet'!T17</f>
        <v>0</v>
      </c>
    </row>
    <row r="16" customFormat="false" ht="15" hidden="false" customHeight="false" outlineLevel="0" collapsed="false">
      <c r="A16" s="32" t="s">
        <v>242</v>
      </c>
      <c r="B16" s="9" t="n">
        <f aca="false">(('Cash Flow'!B15+'Cash Flow'!B17)+'Cash Flow'!B18)</f>
        <v>358.51</v>
      </c>
      <c r="C16" s="9" t="n">
        <f aca="false">(('Cash Flow'!C15+'Cash Flow'!C17)+'Cash Flow'!C18)</f>
        <v>-38.52</v>
      </c>
      <c r="D16" s="9" t="n">
        <f aca="false">(('Cash Flow'!D15+'Cash Flow'!D17)+'Cash Flow'!D18)</f>
        <v>59.51</v>
      </c>
      <c r="E16" s="9" t="n">
        <f aca="false">(('Cash Flow'!E15+'Cash Flow'!E17)+'Cash Flow'!E18)</f>
        <v>-229.95</v>
      </c>
      <c r="F16" s="9" t="n">
        <f aca="false">(('Cash Flow'!F15+'Cash Flow'!F17)+'Cash Flow'!F18)</f>
        <v>2642.56</v>
      </c>
      <c r="G16" s="9" t="n">
        <f aca="false">(('Cash Flow'!G15+'Cash Flow'!G17)+'Cash Flow'!G18)</f>
        <v>1701.29</v>
      </c>
      <c r="H16" s="9" t="n">
        <f aca="false">(('Cash Flow'!H15+'Cash Flow'!H17)+'Cash Flow'!H18)</f>
        <v>-339.429999999999</v>
      </c>
      <c r="I16" s="9" t="n">
        <f aca="false">(('Cash Flow'!I15+'Cash Flow'!I17)+'Cash Flow'!I18)</f>
        <v>-2824.91</v>
      </c>
      <c r="J16" s="9" t="n">
        <f aca="false">(('Cash Flow'!J15+'Cash Flow'!J17)+'Cash Flow'!J18)</f>
        <v>306.45</v>
      </c>
      <c r="K16" s="9" t="n">
        <f aca="false">(('Cash Flow'!K15+'Cash Flow'!K17)+'Cash Flow'!K18)</f>
        <v>181.86</v>
      </c>
      <c r="L16" s="34" t="n">
        <f aca="false">(('Cash Flow'!L15+'Cash Flow'!L17)+'Cash Flow'!L18)</f>
        <v>-1538.25739007403</v>
      </c>
      <c r="M16" s="34" t="n">
        <f aca="false">(('Cash Flow'!M15+'Cash Flow'!M17)+'Cash Flow'!M18)</f>
        <v>-918.398609430869</v>
      </c>
      <c r="N16" s="34" t="n">
        <f aca="false">(('Cash Flow'!N15+'Cash Flow'!N17)+'Cash Flow'!N18)</f>
        <v>-768.516704759479</v>
      </c>
      <c r="O16" s="34" t="n">
        <f aca="false">(('Cash Flow'!O15+'Cash Flow'!O17)+'Cash Flow'!O18)</f>
        <v>-308.574911946206</v>
      </c>
      <c r="P16" s="34" t="n">
        <f aca="false">(('Cash Flow'!P15+'Cash Flow'!P17)+'Cash Flow'!P18)</f>
        <v>-363.694189364037</v>
      </c>
      <c r="Q16" s="34" t="n">
        <f aca="false">(('Cash Flow'!Q15+'Cash Flow'!Q17)+'Cash Flow'!Q18)</f>
        <v>-425.221311962597</v>
      </c>
      <c r="R16" s="34" t="n">
        <f aca="false">(('Cash Flow'!R15+'Cash Flow'!R17)+'Cash Flow'!R18)</f>
        <v>-494.77080662553</v>
      </c>
      <c r="S16" s="34" t="n">
        <f aca="false">(('Cash Flow'!S15+'Cash Flow'!S17)+'Cash Flow'!S18)</f>
        <v>-568.493492569129</v>
      </c>
      <c r="T16" s="34" t="n">
        <f aca="false">(('Cash Flow'!T15+'Cash Flow'!T17)+'Cash Flow'!T18)</f>
        <v>-650.872693900165</v>
      </c>
      <c r="U16" s="34" t="n">
        <f aca="false">(('Cash Flow'!U15+'Cash Flow'!U17)+'Cash Flow'!U18)</f>
        <v>-742.23864839328</v>
      </c>
    </row>
    <row r="17" customFormat="false" ht="15" hidden="false" customHeight="false" outlineLevel="0" collapsed="false">
      <c r="A17" s="32" t="s">
        <v>243</v>
      </c>
      <c r="B17" s="9" t="n">
        <f aca="false">(((0+'Cash Flow'!B9)+'Cash Flow'!B13)+B16)</f>
        <v>-871.78</v>
      </c>
      <c r="C17" s="9" t="n">
        <f aca="false">((('Balance Sheet'!B6+'Cash Flow'!C9)+'Cash Flow'!C13)+C16)</f>
        <v>33.8900000000003</v>
      </c>
      <c r="D17" s="9" t="n">
        <f aca="false">((('Balance Sheet'!C6+'Cash Flow'!D9)+'Cash Flow'!D13)+D16)</f>
        <v>56.8499999999999</v>
      </c>
      <c r="E17" s="9" t="n">
        <f aca="false">((('Balance Sheet'!D6+'Cash Flow'!E9)+'Cash Flow'!E13)+E16)</f>
        <v>-592.55</v>
      </c>
      <c r="F17" s="9" t="n">
        <f aca="false">((('Balance Sheet'!E6+'Cash Flow'!F9)+'Cash Flow'!F13)+F16)</f>
        <v>-11.2899999999995</v>
      </c>
      <c r="G17" s="9" t="n">
        <f aca="false">((('Balance Sheet'!F6+'Cash Flow'!G9)+'Cash Flow'!G13)+G16)</f>
        <v>80.3899999999997</v>
      </c>
      <c r="H17" s="9" t="n">
        <f aca="false">((('Balance Sheet'!G6+'Cash Flow'!H9)+'Cash Flow'!H13)+H16)</f>
        <v>221.230000000001</v>
      </c>
      <c r="I17" s="9" t="n">
        <f aca="false">((('Balance Sheet'!H6+'Cash Flow'!I9)+'Cash Flow'!I13)+I16)</f>
        <v>198.349999999999</v>
      </c>
      <c r="J17" s="9" t="n">
        <f aca="false">((('Balance Sheet'!I6+'Cash Flow'!J9)+'Cash Flow'!J13)+J16)</f>
        <v>314.809999999999</v>
      </c>
      <c r="K17" s="9" t="n">
        <f aca="false">((('Balance Sheet'!J6+'Cash Flow'!K9)+'Cash Flow'!K13)+K16)</f>
        <v>337.510000000002</v>
      </c>
      <c r="L17" s="34" t="n">
        <f aca="false">((('Balance Sheet'!K6+'Cash Flow'!L9)+'Cash Flow'!L13)+L16)</f>
        <v>-23.6653220337371</v>
      </c>
      <c r="M17" s="34" t="n">
        <f aca="false">((('Balance Sheet'!L6+'Cash Flow'!M9)+'Cash Flow'!M13)+M16)</f>
        <v>913.089650463358</v>
      </c>
      <c r="N17" s="34" t="n">
        <f aca="false">((('Balance Sheet'!M6+'Cash Flow'!N9)+'Cash Flow'!N13)+N16)</f>
        <v>1629.95470833868</v>
      </c>
      <c r="O17" s="34" t="n">
        <f aca="false">((('Balance Sheet'!N6+'Cash Flow'!O9)+'Cash Flow'!O13)+O16)</f>
        <v>3484.08083404755</v>
      </c>
      <c r="P17" s="34" t="n">
        <f aca="false">((('Balance Sheet'!O6+'Cash Flow'!P9)+'Cash Flow'!P13)+P16)</f>
        <v>6341.15417125325</v>
      </c>
      <c r="Q17" s="34" t="n">
        <f aca="false">((('Balance Sheet'!P6+'Cash Flow'!Q9)+'Cash Flow'!Q13)+Q16)</f>
        <v>10012.7059284711</v>
      </c>
      <c r="R17" s="34" t="n">
        <f aca="false">((('Balance Sheet'!Q6+'Cash Flow'!R9)+'Cash Flow'!R13)+R16)</f>
        <v>14501.3859979938</v>
      </c>
      <c r="S17" s="34" t="n">
        <f aca="false">((('Balance Sheet'!R6+'Cash Flow'!S9)+'Cash Flow'!S13)+S16)</f>
        <v>19917.0663165612</v>
      </c>
      <c r="T17" s="34" t="n">
        <f aca="false">((('Balance Sheet'!S6+'Cash Flow'!T9)+'Cash Flow'!T13)+T16)</f>
        <v>26282.0230316081</v>
      </c>
      <c r="U17" s="34" t="n">
        <f aca="false">((('Balance Sheet'!T6+'Cash Flow'!U9)+'Cash Flow'!U13)+U16)</f>
        <v>33706.474548784</v>
      </c>
    </row>
    <row r="18" customFormat="false" ht="15" hidden="false" customHeight="false" outlineLevel="0" collapsed="false">
      <c r="A18" s="32" t="s">
        <v>244</v>
      </c>
      <c r="B18" s="9" t="n">
        <f aca="false">MAX((Drivers!B29-B17),0)</f>
        <v>871.78</v>
      </c>
      <c r="C18" s="9" t="n">
        <f aca="false">MAX((Drivers!C29-C17),0)</f>
        <v>0</v>
      </c>
      <c r="D18" s="9" t="n">
        <f aca="false">MAX((Drivers!D29-D17),0)</f>
        <v>0</v>
      </c>
      <c r="E18" s="9" t="n">
        <f aca="false">MAX((Drivers!E29-E17),0)</f>
        <v>592.55</v>
      </c>
      <c r="F18" s="9" t="n">
        <f aca="false">MAX((Drivers!F29-F17),0)</f>
        <v>11.2899999999995</v>
      </c>
      <c r="G18" s="9" t="n">
        <f aca="false">MAX((Drivers!G29-G17),0)</f>
        <v>0</v>
      </c>
      <c r="H18" s="9" t="n">
        <f aca="false">MAX((Drivers!H29-H17),0)</f>
        <v>0</v>
      </c>
      <c r="I18" s="9" t="n">
        <f aca="false">MAX((Drivers!I29-I17),0)</f>
        <v>0</v>
      </c>
      <c r="J18" s="9" t="n">
        <f aca="false">MAX((Drivers!J29-J17),0)</f>
        <v>0</v>
      </c>
      <c r="K18" s="9" t="n">
        <f aca="false">MAX((Drivers!K29-K17),0)</f>
        <v>0</v>
      </c>
      <c r="L18" s="34" t="n">
        <f aca="false">MAX((Drivers!L29-L17),0)</f>
        <v>623.665322033737</v>
      </c>
      <c r="M18" s="34" t="n">
        <f aca="false">MAX((Drivers!M29-M17),0)</f>
        <v>0</v>
      </c>
      <c r="N18" s="34" t="n">
        <f aca="false">MAX((Drivers!N29-N17),0)</f>
        <v>0</v>
      </c>
      <c r="O18" s="34" t="n">
        <f aca="false">MAX((Drivers!O29-O17),0)</f>
        <v>0</v>
      </c>
      <c r="P18" s="34" t="n">
        <f aca="false">MAX((Drivers!P29-P17),0)</f>
        <v>0</v>
      </c>
      <c r="Q18" s="34" t="n">
        <f aca="false">MAX((Drivers!Q29-Q17),0)</f>
        <v>0</v>
      </c>
      <c r="R18" s="34" t="n">
        <f aca="false">MAX((Drivers!R29-R17),0)</f>
        <v>0</v>
      </c>
      <c r="S18" s="34" t="n">
        <f aca="false">MAX((Drivers!S29-S17),0)</f>
        <v>0</v>
      </c>
      <c r="T18" s="34" t="n">
        <f aca="false">MAX((Drivers!T29-T17),0)</f>
        <v>0</v>
      </c>
      <c r="U18" s="34" t="n">
        <f aca="false">MAX((Drivers!U29-U17),0)</f>
        <v>0</v>
      </c>
    </row>
    <row r="19" customFormat="false" ht="15" hidden="false" customHeight="false" outlineLevel="0" collapsed="false">
      <c r="A19" s="32" t="s">
        <v>245</v>
      </c>
      <c r="B19" s="9" t="n">
        <f aca="false">MIN(0,MAX((B17-Drivers!B29),0))</f>
        <v>0</v>
      </c>
      <c r="C19" s="9" t="n">
        <f aca="false">MIN('Balance Sheet'!B18,MAX((C17-Drivers!C29),0))</f>
        <v>0</v>
      </c>
      <c r="D19" s="9" t="n">
        <f aca="false">MIN('Balance Sheet'!C18,MAX((D17-Drivers!D29),0))</f>
        <v>0</v>
      </c>
      <c r="E19" s="9" t="n">
        <f aca="false">MIN('Balance Sheet'!D18,MAX((E17-Drivers!E29),0))</f>
        <v>0</v>
      </c>
      <c r="F19" s="9" t="n">
        <f aca="false">MIN('Balance Sheet'!E18,MAX((F17-Drivers!F29),0))</f>
        <v>0</v>
      </c>
      <c r="G19" s="9" t="n">
        <f aca="false">MIN('Balance Sheet'!F18,MAX((G17-Drivers!G29),0))</f>
        <v>0</v>
      </c>
      <c r="H19" s="9" t="n">
        <f aca="false">MIN('Balance Sheet'!G18,MAX((H17-Drivers!H29),0))</f>
        <v>0</v>
      </c>
      <c r="I19" s="9" t="n">
        <f aca="false">MIN('Balance Sheet'!H18,MAX((I17-Drivers!I29),0))</f>
        <v>0</v>
      </c>
      <c r="J19" s="9" t="n">
        <f aca="false">MIN('Balance Sheet'!I18,MAX((J17-Drivers!J29),0))</f>
        <v>0</v>
      </c>
      <c r="K19" s="9" t="n">
        <f aca="false">MIN('Balance Sheet'!J18,MAX((K17-Drivers!K29),0))</f>
        <v>0</v>
      </c>
      <c r="L19" s="34" t="n">
        <f aca="false">MIN('Balance Sheet'!K18,MAX((L17-Drivers!L29),0))</f>
        <v>0</v>
      </c>
      <c r="M19" s="34" t="n">
        <f aca="false">MIN('Balance Sheet'!L18,MAX((M17-Drivers!M29),0))</f>
        <v>313.089650463358</v>
      </c>
      <c r="N19" s="34" t="n">
        <f aca="false">MIN('Balance Sheet'!M18,MAX((N17-Drivers!N29),0))</f>
        <v>310.575671570379</v>
      </c>
      <c r="O19" s="34" t="n">
        <f aca="false">MIN('Balance Sheet'!N18,MAX((O17-Drivers!O29),0))</f>
        <v>0</v>
      </c>
      <c r="P19" s="34" t="n">
        <f aca="false">MIN('Balance Sheet'!O18,MAX((P17-Drivers!P29),0))</f>
        <v>0</v>
      </c>
      <c r="Q19" s="34" t="n">
        <f aca="false">MIN('Balance Sheet'!P18,MAX((Q17-Drivers!Q29),0))</f>
        <v>0</v>
      </c>
      <c r="R19" s="34" t="n">
        <f aca="false">MIN('Balance Sheet'!Q18,MAX((R17-Drivers!R29),0))</f>
        <v>0</v>
      </c>
      <c r="S19" s="34" t="n">
        <f aca="false">MIN('Balance Sheet'!R18,MAX((S17-Drivers!S29),0))</f>
        <v>0</v>
      </c>
      <c r="T19" s="34" t="n">
        <f aca="false">MIN('Balance Sheet'!S18,MAX((T17-Drivers!T29),0))</f>
        <v>0</v>
      </c>
      <c r="U19" s="34" t="n">
        <f aca="false">MIN('Balance Sheet'!T18,MAX((U17-Drivers!U29),0))</f>
        <v>0</v>
      </c>
    </row>
    <row r="20" customFormat="false" ht="15" hidden="false" customHeight="false" outlineLevel="0" collapsed="false">
      <c r="A20" s="32" t="s">
        <v>246</v>
      </c>
      <c r="B20" s="9" t="n">
        <f aca="false">AVERAGE(0,'Balance Sheet'!B19)</f>
        <v>195.87</v>
      </c>
      <c r="C20" s="9" t="n">
        <f aca="false">AVERAGE('Balance Sheet'!B19,'Balance Sheet'!C19)</f>
        <v>391.585</v>
      </c>
      <c r="D20" s="9" t="n">
        <f aca="false">AVERAGE('Balance Sheet'!C19,'Balance Sheet'!D19)</f>
        <v>442.785</v>
      </c>
      <c r="E20" s="9" t="n">
        <f aca="false">AVERAGE('Balance Sheet'!D19,'Balance Sheet'!E19)</f>
        <v>396.94</v>
      </c>
      <c r="F20" s="9" t="n">
        <f aca="false">AVERAGE('Balance Sheet'!E19,'Balance Sheet'!F19)</f>
        <v>1631.685</v>
      </c>
      <c r="G20" s="9" t="n">
        <f aca="false">AVERAGE('Balance Sheet'!F19,'Balance Sheet'!G19)</f>
        <v>3844.495</v>
      </c>
      <c r="H20" s="9" t="n">
        <f aca="false">AVERAGE('Balance Sheet'!G19,'Balance Sheet'!H19)</f>
        <v>4594.75</v>
      </c>
      <c r="I20" s="9" t="n">
        <f aca="false">AVERAGE('Balance Sheet'!H19,'Balance Sheet'!I19)</f>
        <v>3108.565</v>
      </c>
      <c r="J20" s="9" t="n">
        <f aca="false">AVERAGE('Balance Sheet'!I19,'Balance Sheet'!J19)</f>
        <v>1995.09</v>
      </c>
      <c r="K20" s="9" t="n">
        <f aca="false">AVERAGE('Balance Sheet'!J19,'Balance Sheet'!K19)</f>
        <v>2399.22</v>
      </c>
      <c r="L20" s="34" t="n">
        <f aca="false">AVERAGE('Balance Sheet'!K19,'Balance Sheet'!L19)</f>
        <v>2195.85766101687</v>
      </c>
      <c r="M20" s="34" t="n">
        <f aca="false">AVERAGE('Balance Sheet'!L19,'Balance Sheet'!M19)</f>
        <v>1323.92049680206</v>
      </c>
      <c r="N20" s="34" t="n">
        <f aca="false">AVERAGE('Balance Sheet'!M19,'Balance Sheet'!N19)</f>
        <v>408.68783578519</v>
      </c>
      <c r="O20" s="34" t="n">
        <f aca="false">AVERAGE('Balance Sheet'!N19,'Balance Sheet'!O19)</f>
        <v>0</v>
      </c>
      <c r="P20" s="34" t="n">
        <f aca="false">AVERAGE('Balance Sheet'!O19,'Balance Sheet'!P19)</f>
        <v>0</v>
      </c>
      <c r="Q20" s="34" t="n">
        <f aca="false">AVERAGE('Balance Sheet'!P19,'Balance Sheet'!Q19)</f>
        <v>0</v>
      </c>
      <c r="R20" s="34" t="n">
        <f aca="false">AVERAGE('Balance Sheet'!Q19,'Balance Sheet'!R19)</f>
        <v>0</v>
      </c>
      <c r="S20" s="34" t="n">
        <f aca="false">AVERAGE('Balance Sheet'!R19,'Balance Sheet'!S19)</f>
        <v>0</v>
      </c>
      <c r="T20" s="34" t="n">
        <f aca="false">AVERAGE('Balance Sheet'!S19,'Balance Sheet'!T19)</f>
        <v>0</v>
      </c>
      <c r="U20" s="34" t="n">
        <f aca="false">AVERAGE('Balance Sheet'!T19,'Balance Sheet'!U19)</f>
        <v>0</v>
      </c>
    </row>
    <row r="21" customFormat="false" ht="15" hidden="false" customHeight="false" outlineLevel="0" collapsed="false">
      <c r="A21" s="28" t="s">
        <v>247</v>
      </c>
      <c r="B21" s="29"/>
      <c r="C21" s="29"/>
      <c r="D21" s="29"/>
      <c r="E21" s="29"/>
      <c r="F21" s="29"/>
      <c r="G21" s="29"/>
      <c r="H21" s="29"/>
      <c r="I21" s="29"/>
      <c r="J21" s="29"/>
      <c r="K21" s="29"/>
      <c r="L21" s="29"/>
      <c r="M21" s="29"/>
      <c r="N21" s="29"/>
      <c r="O21" s="29"/>
      <c r="P21" s="29"/>
      <c r="Q21" s="29"/>
      <c r="R21" s="29"/>
      <c r="S21" s="29"/>
      <c r="T21" s="29"/>
      <c r="U21" s="29"/>
    </row>
    <row r="22" customFormat="false" ht="15" hidden="false" customHeight="false" outlineLevel="0" collapsed="false">
      <c r="A22" s="32" t="s">
        <v>248</v>
      </c>
      <c r="B22" s="54" t="n">
        <v>33.23</v>
      </c>
      <c r="C22" s="54" t="n">
        <v>38.21</v>
      </c>
      <c r="D22" s="54" t="n">
        <v>43.2</v>
      </c>
      <c r="E22" s="54" t="n">
        <v>35.55</v>
      </c>
      <c r="F22" s="54" t="n">
        <v>21.33</v>
      </c>
      <c r="G22" s="54" t="n">
        <v>60.44</v>
      </c>
      <c r="H22" s="54" t="n">
        <v>78.21</v>
      </c>
      <c r="I22" s="54" t="n">
        <v>113.76</v>
      </c>
      <c r="J22" s="54" t="n">
        <v>177.75</v>
      </c>
      <c r="K22" s="54" t="n">
        <v>142.2</v>
      </c>
      <c r="L22" s="34" t="n">
        <f aca="false">('Income Statement'!L18*Drivers!L28)</f>
        <v>183.807390074042</v>
      </c>
      <c r="M22" s="34" t="n">
        <f aca="false">('Income Statement'!M18*Drivers!M28)</f>
        <v>218.398609430869</v>
      </c>
      <c r="N22" s="34" t="n">
        <f aca="false">('Income Statement'!N18*Drivers!N28)</f>
        <v>261.716704759479</v>
      </c>
      <c r="O22" s="34" t="n">
        <f aca="false">('Income Statement'!O18*Drivers!O28)</f>
        <v>308.574911946206</v>
      </c>
      <c r="P22" s="34" t="n">
        <f aca="false">('Income Statement'!P18*Drivers!P28)</f>
        <v>363.694189364037</v>
      </c>
      <c r="Q22" s="34" t="n">
        <f aca="false">('Income Statement'!Q18*Drivers!Q28)</f>
        <v>425.221311962597</v>
      </c>
      <c r="R22" s="34" t="n">
        <f aca="false">('Income Statement'!R18*Drivers!R28)</f>
        <v>494.77080662553</v>
      </c>
      <c r="S22" s="34" t="n">
        <f aca="false">('Income Statement'!S18*Drivers!S28)</f>
        <v>568.493492569129</v>
      </c>
      <c r="T22" s="34" t="n">
        <f aca="false">('Income Statement'!T18*Drivers!T28)</f>
        <v>650.872693900165</v>
      </c>
      <c r="U22" s="34" t="n">
        <f aca="false">('Income Statement'!U18*Drivers!U28)</f>
        <v>742.23864839328</v>
      </c>
    </row>
    <row r="23" customFormat="false" ht="15" hidden="false" customHeight="false" outlineLevel="0" collapsed="false">
      <c r="A23" s="32" t="s">
        <v>249</v>
      </c>
      <c r="B23" s="67" t="n">
        <v>33.231673</v>
      </c>
      <c r="C23" s="67" t="n">
        <v>33.231673</v>
      </c>
      <c r="D23" s="67" t="n">
        <v>33.231673</v>
      </c>
      <c r="E23" s="67" t="n">
        <v>35.5487461</v>
      </c>
      <c r="F23" s="67" t="n">
        <v>35.5487461</v>
      </c>
      <c r="G23" s="67" t="n">
        <v>35.5487461</v>
      </c>
      <c r="H23" s="67" t="n">
        <v>35.5487461</v>
      </c>
      <c r="I23" s="67" t="n">
        <v>35.5487461</v>
      </c>
      <c r="J23" s="67" t="n">
        <v>35.5487461</v>
      </c>
      <c r="K23" s="67" t="n">
        <v>53.3232301</v>
      </c>
      <c r="L23" s="68" t="n">
        <f aca="false">K23</f>
        <v>53.3232301</v>
      </c>
      <c r="M23" s="68" t="n">
        <f aca="false">L23</f>
        <v>53.3232301</v>
      </c>
      <c r="N23" s="68" t="n">
        <f aca="false">M23</f>
        <v>53.3232301</v>
      </c>
      <c r="O23" s="68" t="n">
        <f aca="false">N23</f>
        <v>53.3232301</v>
      </c>
      <c r="P23" s="68" t="n">
        <f aca="false">O23</f>
        <v>53.3232301</v>
      </c>
      <c r="Q23" s="68" t="n">
        <f aca="false">P23</f>
        <v>53.3232301</v>
      </c>
      <c r="R23" s="68" t="n">
        <f aca="false">Q23</f>
        <v>53.3232301</v>
      </c>
      <c r="S23" s="68" t="n">
        <f aca="false">R23</f>
        <v>53.3232301</v>
      </c>
      <c r="T23" s="68" t="n">
        <f aca="false">S23</f>
        <v>53.3232301</v>
      </c>
      <c r="U23" s="68" t="n">
        <f aca="false">T23</f>
        <v>53.3232301</v>
      </c>
    </row>
    <row r="24" customFormat="false" ht="15" hidden="false" customHeight="false" outlineLevel="0" collapsed="false">
      <c r="A24" s="6" t="s">
        <v>250</v>
      </c>
      <c r="B24" s="30" t="n">
        <f aca="false">('Balance Sheet'!B15+'Balance Sheet'!B16)</f>
        <v>1547.69</v>
      </c>
      <c r="C24" s="30" t="n">
        <f aca="false">('Balance Sheet'!C15+'Balance Sheet'!C16)</f>
        <v>1595.37</v>
      </c>
      <c r="D24" s="30" t="n">
        <f aca="false">('Balance Sheet'!D15+'Balance Sheet'!D16)</f>
        <v>1646.51</v>
      </c>
      <c r="E24" s="30" t="n">
        <f aca="false">('Balance Sheet'!E15+'Balance Sheet'!E16)</f>
        <v>2387.77</v>
      </c>
      <c r="F24" s="30" t="n">
        <f aca="false">('Balance Sheet'!F15+'Balance Sheet'!F16)</f>
        <v>2313.03</v>
      </c>
      <c r="G24" s="30" t="n">
        <f aca="false">('Balance Sheet'!G15+'Balance Sheet'!G16)</f>
        <v>2364</v>
      </c>
      <c r="H24" s="30" t="n">
        <f aca="false">('Balance Sheet'!H15+'Balance Sheet'!H16)</f>
        <v>2595.49</v>
      </c>
      <c r="I24" s="30" t="n">
        <f aca="false">('Balance Sheet'!I15+'Balance Sheet'!I16)</f>
        <v>4067.74</v>
      </c>
      <c r="J24" s="30" t="n">
        <f aca="false">('Balance Sheet'!J15+'Balance Sheet'!J16)</f>
        <v>5461.74</v>
      </c>
      <c r="K24" s="30" t="n">
        <f aca="false">('Balance Sheet'!K15+'Balance Sheet'!K16)</f>
        <v>6984.68</v>
      </c>
      <c r="L24" s="31" t="n">
        <f aca="false">('Balance Sheet'!L15+'Balance Sheet'!L16)</f>
        <v>9098.46498585148</v>
      </c>
      <c r="M24" s="31" t="n">
        <f aca="false">('Balance Sheet'!M15+'Balance Sheet'!M16)</f>
        <v>11610.048994307</v>
      </c>
      <c r="N24" s="31" t="n">
        <f aca="false">('Balance Sheet'!N15+'Balance Sheet'!N16)</f>
        <v>14619.7910990413</v>
      </c>
      <c r="O24" s="31" t="n">
        <f aca="false">('Balance Sheet'!O15+'Balance Sheet'!O16)</f>
        <v>18168.4025864225</v>
      </c>
      <c r="P24" s="31" t="n">
        <f aca="false">('Balance Sheet'!P15+'Balance Sheet'!P16)</f>
        <v>22350.8857641089</v>
      </c>
      <c r="Q24" s="31" t="n">
        <f aca="false">('Balance Sheet'!Q15+'Balance Sheet'!Q16)</f>
        <v>27240.9308516791</v>
      </c>
      <c r="R24" s="31" t="n">
        <f aca="false">('Balance Sheet'!R15+'Balance Sheet'!R16)</f>
        <v>32930.7951278737</v>
      </c>
      <c r="S24" s="31" t="n">
        <f aca="false">('Balance Sheet'!S15+'Balance Sheet'!S16)</f>
        <v>39468.4702924212</v>
      </c>
      <c r="T24" s="31" t="n">
        <f aca="false">('Balance Sheet'!T15+'Balance Sheet'!T16)</f>
        <v>46953.5062722781</v>
      </c>
      <c r="U24" s="31" t="n">
        <f aca="false">('Balance Sheet'!U15+'Balance Sheet'!U16)</f>
        <v>55489.2507288101</v>
      </c>
    </row>
    <row r="25" customFormat="false" ht="15" hidden="false" customHeight="false" outlineLevel="0" collapsed="false">
      <c r="A25" s="32" t="s">
        <v>251</v>
      </c>
      <c r="B25" s="69" t="n">
        <f aca="false">IFERROR((B24)/(B23),0)</f>
        <v>46.5727380020861</v>
      </c>
      <c r="C25" s="69" t="n">
        <f aca="false">IFERROR((C24)/(C23),0)</f>
        <v>48.0075137956491</v>
      </c>
      <c r="D25" s="69" t="n">
        <f aca="false">IFERROR((D24)/(D23),0)</f>
        <v>49.5464071279228</v>
      </c>
      <c r="E25" s="69" t="n">
        <f aca="false">IFERROR((E24)/(E23),0)</f>
        <v>67.1688951639282</v>
      </c>
      <c r="F25" s="69" t="n">
        <f aca="false">IFERROR((F24)/(F23),0)</f>
        <v>65.0664300083428</v>
      </c>
      <c r="G25" s="69" t="n">
        <f aca="false">IFERROR((G24)/(G23),0)</f>
        <v>66.5002358550137</v>
      </c>
      <c r="H25" s="69" t="n">
        <f aca="false">IFERROR((H24)/(H23),0)</f>
        <v>73.0121392382951</v>
      </c>
      <c r="I25" s="69" t="n">
        <f aca="false">IFERROR((I24)/(I23),0)</f>
        <v>114.427102113737</v>
      </c>
      <c r="J25" s="69" t="n">
        <f aca="false">IFERROR((J24)/(J23),0)</f>
        <v>153.640862173758</v>
      </c>
      <c r="K25" s="69" t="n">
        <f aca="false">IFERROR((K24)/(K23),0)</f>
        <v>130.987563710999</v>
      </c>
      <c r="L25" s="68" t="n">
        <f aca="false">IFERROR((L24)/(L23),0)</f>
        <v>170.628541609138</v>
      </c>
      <c r="M25" s="68" t="n">
        <f aca="false">IFERROR((M24)/(M23),0)</f>
        <v>217.729664398313</v>
      </c>
      <c r="N25" s="68" t="n">
        <f aca="false">IFERROR((N24)/(N23),0)</f>
        <v>274.173021244662</v>
      </c>
      <c r="O25" s="68" t="n">
        <f aca="false">IFERROR((O24)/(O23),0)</f>
        <v>340.722093398136</v>
      </c>
      <c r="P25" s="68" t="n">
        <f aca="false">IFERROR((P24)/(P23),0)</f>
        <v>419.158511631667</v>
      </c>
      <c r="Q25" s="68" t="n">
        <f aca="false">IFERROR((Q24)/(Q23),0)</f>
        <v>510.86422935356</v>
      </c>
      <c r="R25" s="68" t="n">
        <f aca="false">IFERROR((R24)/(R23),0)</f>
        <v>617.569398292578</v>
      </c>
      <c r="S25" s="68" t="n">
        <f aca="false">IFERROR((S24)/(S23),0)</f>
        <v>740.174033313506</v>
      </c>
      <c r="T25" s="68" t="n">
        <f aca="false">IFERROR((T24)/(T23),0)</f>
        <v>880.545049206951</v>
      </c>
      <c r="U25" s="68" t="n">
        <f aca="false">IFERROR((U24)/(U23),0)</f>
        <v>1040.62058177549</v>
      </c>
    </row>
  </sheetData>
  <sheetProtection sheet="true" formatColumns="false" formatRows="false"/>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3" min="3" style="0" width="44"/>
  </cols>
  <sheetData>
    <row r="1" customFormat="false" ht="17.35" hidden="false" customHeight="false" outlineLevel="0" collapsed="false">
      <c r="A1" s="1" t="s">
        <v>252</v>
      </c>
    </row>
    <row r="2" customFormat="false" ht="15" hidden="false" customHeight="false" outlineLevel="0" collapsed="false">
      <c r="A2" s="2" t="s">
        <v>253</v>
      </c>
    </row>
    <row r="4" customFormat="false" ht="15" hidden="false" customHeight="false" outlineLevel="0" collapsed="false">
      <c r="A4" s="3"/>
      <c r="B4" s="4" t="s">
        <v>3</v>
      </c>
      <c r="C4" s="4" t="s">
        <v>254</v>
      </c>
    </row>
    <row r="5" customFormat="false" ht="15" hidden="false" customHeight="false" outlineLevel="0" collapsed="false">
      <c r="A5" s="41" t="s">
        <v>255</v>
      </c>
    </row>
    <row r="6" customFormat="false" ht="15" hidden="false" customHeight="false" outlineLevel="0" collapsed="false">
      <c r="A6" s="8" t="s">
        <v>256</v>
      </c>
      <c r="B6" s="42" t="n">
        <v>0.0735</v>
      </c>
      <c r="C6" s="70" t="s">
        <v>257</v>
      </c>
    </row>
    <row r="7" customFormat="false" ht="15" hidden="false" customHeight="false" outlineLevel="0" collapsed="false">
      <c r="A7" s="8" t="s">
        <v>258</v>
      </c>
      <c r="B7" s="42" t="n">
        <v>0.055</v>
      </c>
      <c r="C7" s="70" t="s">
        <v>259</v>
      </c>
    </row>
    <row r="8" customFormat="false" ht="15" hidden="false" customHeight="false" outlineLevel="0" collapsed="false">
      <c r="A8" s="8" t="s">
        <v>260</v>
      </c>
      <c r="B8" s="71" t="n">
        <v>1.2</v>
      </c>
      <c r="C8" s="70" t="s">
        <v>259</v>
      </c>
    </row>
    <row r="9" customFormat="false" ht="15" hidden="false" customHeight="false" outlineLevel="0" collapsed="false">
      <c r="A9" s="8" t="s">
        <v>261</v>
      </c>
      <c r="B9" s="72" t="n">
        <f aca="false">0.67*B8+0.33</f>
        <v>1.134</v>
      </c>
    </row>
    <row r="10" customFormat="false" ht="15" hidden="false" customHeight="false" outlineLevel="0" collapsed="false">
      <c r="A10" s="6" t="s">
        <v>262</v>
      </c>
      <c r="B10" s="73" t="n">
        <f aca="false">B6+B9*B7</f>
        <v>0.13587</v>
      </c>
    </row>
    <row r="12" customFormat="false" ht="15" hidden="false" customHeight="false" outlineLevel="0" collapsed="false">
      <c r="A12" s="41" t="s">
        <v>263</v>
      </c>
    </row>
    <row r="13" customFormat="false" ht="15" hidden="false" customHeight="false" outlineLevel="0" collapsed="false">
      <c r="A13" s="8" t="s">
        <v>264</v>
      </c>
      <c r="B13" s="42" t="n">
        <v>0.085</v>
      </c>
      <c r="C13" s="70" t="s">
        <v>259</v>
      </c>
    </row>
    <row r="14" customFormat="false" ht="15" hidden="false" customHeight="false" outlineLevel="0" collapsed="false">
      <c r="A14" s="8" t="s">
        <v>265</v>
      </c>
      <c r="B14" s="42" t="n">
        <v>0.24</v>
      </c>
      <c r="C14" s="70" t="s">
        <v>259</v>
      </c>
    </row>
    <row r="15" customFormat="false" ht="15" hidden="false" customHeight="false" outlineLevel="0" collapsed="false">
      <c r="A15" s="8" t="s">
        <v>266</v>
      </c>
      <c r="B15" s="15" t="n">
        <f aca="false">B13*(1-B14)</f>
        <v>0.0646</v>
      </c>
    </row>
    <row r="16" customFormat="false" ht="15" hidden="false" customHeight="false" outlineLevel="0" collapsed="false">
      <c r="A16" s="8" t="s">
        <v>267</v>
      </c>
      <c r="B16" s="42" t="n">
        <v>0.02</v>
      </c>
      <c r="C16" s="70" t="s">
        <v>259</v>
      </c>
    </row>
    <row r="18" customFormat="false" ht="15" hidden="false" customHeight="false" outlineLevel="0" collapsed="false">
      <c r="A18" s="6" t="s">
        <v>268</v>
      </c>
      <c r="B18" s="74" t="n">
        <f aca="false">B10*(1-B16)+B15*B16</f>
        <v>0.1344446</v>
      </c>
    </row>
    <row r="19" customFormat="false" ht="15" hidden="false" customHeight="false" outlineLevel="0" collapsed="false">
      <c r="A19" s="8" t="s">
        <v>269</v>
      </c>
      <c r="B19" s="19" t="n">
        <f aca="false">Scenarios!$B$32</f>
        <v>0.06</v>
      </c>
    </row>
    <row r="20" customFormat="false" ht="15" hidden="false" customHeight="false" outlineLevel="0" collapsed="false">
      <c r="A20" s="8" t="s">
        <v>270</v>
      </c>
      <c r="B20" s="75" t="str">
        <f aca="false">IF(B19&lt;WACC!$B$18,"OK","FAIL")</f>
        <v>OK</v>
      </c>
    </row>
  </sheetData>
  <sheetProtection sheet="true" formatColumns="false" formatRows="false"/>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8"/>
    <col collapsed="false" customWidth="true" hidden="false" outlineLevel="0" max="11" min="2" style="0" width="11"/>
  </cols>
  <sheetData>
    <row r="1" customFormat="false" ht="17.35" hidden="false" customHeight="false" outlineLevel="0" collapsed="false">
      <c r="A1" s="1" t="s">
        <v>271</v>
      </c>
    </row>
    <row r="2" customFormat="false" ht="15" hidden="false" customHeight="false" outlineLevel="0" collapsed="false">
      <c r="A2" s="2" t="s">
        <v>272</v>
      </c>
    </row>
    <row r="4" customFormat="false" ht="15" hidden="false" customHeight="false" outlineLevel="0" collapsed="false">
      <c r="A4" s="3" t="s">
        <v>140</v>
      </c>
      <c r="B4" s="4" t="s">
        <v>6</v>
      </c>
      <c r="C4" s="4" t="s">
        <v>7</v>
      </c>
      <c r="D4" s="4" t="s">
        <v>69</v>
      </c>
      <c r="E4" s="4" t="s">
        <v>115</v>
      </c>
      <c r="F4" s="4" t="s">
        <v>116</v>
      </c>
      <c r="G4" s="4" t="s">
        <v>117</v>
      </c>
      <c r="H4" s="4" t="s">
        <v>118</v>
      </c>
      <c r="I4" s="4" t="s">
        <v>119</v>
      </c>
      <c r="J4" s="4" t="s">
        <v>55</v>
      </c>
      <c r="K4" s="4" t="s">
        <v>57</v>
      </c>
    </row>
    <row r="5" customFormat="false" ht="15" hidden="false" customHeight="false" outlineLevel="0" collapsed="false">
      <c r="A5" s="41" t="s">
        <v>126</v>
      </c>
    </row>
    <row r="6" customFormat="false" ht="15" hidden="false" customHeight="false" outlineLevel="0" collapsed="false">
      <c r="A6" s="8" t="s">
        <v>9</v>
      </c>
      <c r="B6" s="9" t="n">
        <f aca="false">'Income Statement'!L6</f>
        <v>24085.037158</v>
      </c>
      <c r="C6" s="9" t="n">
        <f aca="false">'Income Statement'!M6</f>
        <v>27931.4175921326</v>
      </c>
      <c r="D6" s="9" t="n">
        <f aca="false">'Income Statement'!N6</f>
        <v>32299.8913035421</v>
      </c>
      <c r="E6" s="9" t="n">
        <f aca="false">'Income Statement'!O6</f>
        <v>36993.0655099468</v>
      </c>
      <c r="F6" s="9" t="n">
        <f aca="false">'Income Statement'!P6</f>
        <v>42016.7238061976</v>
      </c>
      <c r="G6" s="9" t="n">
        <f aca="false">'Income Statement'!Q6</f>
        <v>47193.1841791211</v>
      </c>
      <c r="H6" s="9" t="n">
        <f aca="false">'Income Statement'!R6</f>
        <v>52587.3651307947</v>
      </c>
      <c r="I6" s="9" t="n">
        <f aca="false">'Income Statement'!S6</f>
        <v>57988.0875297273</v>
      </c>
      <c r="J6" s="9" t="n">
        <f aca="false">'Income Statement'!T6</f>
        <v>63676.7189163935</v>
      </c>
      <c r="K6" s="9" t="n">
        <f aca="false">'Income Statement'!U6</f>
        <v>69732.3748853426</v>
      </c>
    </row>
    <row r="7" customFormat="false" ht="15" hidden="false" customHeight="false" outlineLevel="0" collapsed="false">
      <c r="A7" s="8" t="s">
        <v>11</v>
      </c>
      <c r="B7" s="9" t="n">
        <f aca="false">'Income Statement'!L10</f>
        <v>4696.58224581</v>
      </c>
      <c r="C7" s="9" t="n">
        <f aca="false">'Income Statement'!M10</f>
        <v>5530.42068324226</v>
      </c>
      <c r="D7" s="9" t="n">
        <f aca="false">'Income Statement'!N10</f>
        <v>6459.97826070843</v>
      </c>
      <c r="E7" s="9" t="n">
        <f aca="false">'Income Statement'!O10</f>
        <v>7398.61310198936</v>
      </c>
      <c r="F7" s="9" t="n">
        <f aca="false">'Income Statement'!P10</f>
        <v>8403.34476123952</v>
      </c>
      <c r="G7" s="9" t="n">
        <f aca="false">'Income Statement'!Q10</f>
        <v>9438.63683582423</v>
      </c>
      <c r="H7" s="9" t="n">
        <f aca="false">'Income Statement'!R10</f>
        <v>10517.4730261589</v>
      </c>
      <c r="I7" s="9" t="n">
        <f aca="false">'Income Statement'!S10</f>
        <v>11597.6175059455</v>
      </c>
      <c r="J7" s="9" t="n">
        <f aca="false">'Income Statement'!T10</f>
        <v>12735.3437832787</v>
      </c>
      <c r="K7" s="9" t="n">
        <f aca="false">'Income Statement'!U10</f>
        <v>13946.4749770685</v>
      </c>
    </row>
    <row r="8" customFormat="false" ht="15" hidden="false" customHeight="false" outlineLevel="0" collapsed="false">
      <c r="A8" s="8" t="s">
        <v>123</v>
      </c>
      <c r="B8" s="9" t="n">
        <f aca="false">'Income Statement'!L12</f>
        <v>3108.84315277232</v>
      </c>
      <c r="C8" s="9" t="n">
        <f aca="false">'Income Statement'!M12</f>
        <v>3581.82138140756</v>
      </c>
      <c r="D8" s="9" t="n">
        <f aca="false">'Income Statement'!N12</f>
        <v>4180.01003855951</v>
      </c>
      <c r="E8" s="9" t="n">
        <f aca="false">'Income Statement'!O12</f>
        <v>4808.1536199415</v>
      </c>
      <c r="F8" s="9" t="n">
        <f aca="false">'Income Statement'!P12</f>
        <v>5536.44201597553</v>
      </c>
      <c r="G8" s="9" t="n">
        <f aca="false">'Income Statement'!Q12</f>
        <v>6320.69157255416</v>
      </c>
      <c r="H8" s="9" t="n">
        <f aca="false">'Income Statement'!R12</f>
        <v>7183.20765755031</v>
      </c>
      <c r="I8" s="9" t="n">
        <f aca="false">'Income Statement'!S12</f>
        <v>8057.65795444634</v>
      </c>
      <c r="J8" s="9" t="n">
        <f aca="false">'Income Statement'!T12</f>
        <v>9012.64243122071</v>
      </c>
      <c r="K8" s="9" t="n">
        <f aca="false">'Income Statement'!U12</f>
        <v>10049.0492104614</v>
      </c>
    </row>
    <row r="9" customFormat="false" ht="15" hidden="false" customHeight="false" outlineLevel="0" collapsed="false">
      <c r="A9" s="8" t="s">
        <v>265</v>
      </c>
      <c r="B9" s="19" t="n">
        <f aca="false">Drivers!L22</f>
        <v>0.24</v>
      </c>
      <c r="C9" s="19" t="n">
        <f aca="false">Drivers!M22</f>
        <v>0.24</v>
      </c>
      <c r="D9" s="19" t="n">
        <f aca="false">Drivers!N22</f>
        <v>0.24</v>
      </c>
      <c r="E9" s="19" t="n">
        <f aca="false">Drivers!O22</f>
        <v>0.24</v>
      </c>
      <c r="F9" s="19" t="n">
        <f aca="false">Drivers!P22</f>
        <v>0.24</v>
      </c>
      <c r="G9" s="19" t="n">
        <f aca="false">Drivers!Q22</f>
        <v>0.24</v>
      </c>
      <c r="H9" s="19" t="n">
        <f aca="false">Drivers!R22</f>
        <v>0.24</v>
      </c>
      <c r="I9" s="19" t="n">
        <f aca="false">Drivers!S22</f>
        <v>0.24</v>
      </c>
      <c r="J9" s="19" t="n">
        <f aca="false">Drivers!T22</f>
        <v>0.24</v>
      </c>
      <c r="K9" s="19" t="n">
        <f aca="false">Drivers!U22</f>
        <v>0.24</v>
      </c>
    </row>
    <row r="10" customFormat="false" ht="15" hidden="false" customHeight="false" outlineLevel="0" collapsed="false">
      <c r="A10" s="8" t="s">
        <v>273</v>
      </c>
      <c r="B10" s="51" t="n">
        <f aca="false">B8*(1-B9)</f>
        <v>2362.72079610697</v>
      </c>
      <c r="C10" s="51" t="n">
        <f aca="false">C8*(1-C9)</f>
        <v>2722.18424986975</v>
      </c>
      <c r="D10" s="51" t="n">
        <f aca="false">D8*(1-D9)</f>
        <v>3176.80762930523</v>
      </c>
      <c r="E10" s="51" t="n">
        <f aca="false">E8*(1-E9)</f>
        <v>3654.19675115554</v>
      </c>
      <c r="F10" s="51" t="n">
        <f aca="false">F8*(1-F9)</f>
        <v>4207.69593214141</v>
      </c>
      <c r="G10" s="51" t="n">
        <f aca="false">G8*(1-G9)</f>
        <v>4803.72559514116</v>
      </c>
      <c r="H10" s="51" t="n">
        <f aca="false">H8*(1-H9)</f>
        <v>5459.23781973824</v>
      </c>
      <c r="I10" s="51" t="n">
        <f aca="false">I8*(1-I9)</f>
        <v>6123.82004537922</v>
      </c>
      <c r="J10" s="51" t="n">
        <f aca="false">J8*(1-J9)</f>
        <v>6849.60824772774</v>
      </c>
      <c r="K10" s="51" t="n">
        <f aca="false">K8*(1-K9)</f>
        <v>7637.2773999507</v>
      </c>
    </row>
    <row r="11" customFormat="false" ht="15" hidden="false" customHeight="false" outlineLevel="0" collapsed="false">
      <c r="A11" s="8" t="s">
        <v>274</v>
      </c>
      <c r="B11" s="9" t="n">
        <f aca="false">'Income Statement'!L11</f>
        <v>1587.73909303768</v>
      </c>
      <c r="C11" s="9" t="n">
        <f aca="false">'Income Statement'!M11</f>
        <v>1948.59930183469</v>
      </c>
      <c r="D11" s="9" t="n">
        <f aca="false">'Income Statement'!N11</f>
        <v>2279.96822214892</v>
      </c>
      <c r="E11" s="9" t="n">
        <f aca="false">'Income Statement'!O11</f>
        <v>2590.45948204787</v>
      </c>
      <c r="F11" s="9" t="n">
        <f aca="false">'Income Statement'!P11</f>
        <v>2866.90274526398</v>
      </c>
      <c r="G11" s="9" t="n">
        <f aca="false">'Income Statement'!Q11</f>
        <v>3117.94526327006</v>
      </c>
      <c r="H11" s="9" t="n">
        <f aca="false">'Income Statement'!R11</f>
        <v>3334.26536860862</v>
      </c>
      <c r="I11" s="9" t="n">
        <f aca="false">'Income Statement'!S11</f>
        <v>3539.95955149912</v>
      </c>
      <c r="J11" s="9" t="n">
        <f aca="false">'Income Statement'!T11</f>
        <v>3722.701352058</v>
      </c>
      <c r="K11" s="9" t="n">
        <f aca="false">'Income Statement'!U11</f>
        <v>3897.42576660707</v>
      </c>
    </row>
    <row r="12" customFormat="false" ht="15" hidden="false" customHeight="false" outlineLevel="0" collapsed="false">
      <c r="A12" s="8" t="s">
        <v>275</v>
      </c>
      <c r="B12" s="9" t="n">
        <f aca="false">-Schedules!L7</f>
        <v>-2842.034384644</v>
      </c>
      <c r="C12" s="9" t="n">
        <f aca="false">-Schedules!M7</f>
        <v>-3100.38735272672</v>
      </c>
      <c r="D12" s="9" t="n">
        <f aca="false">-Schedules!N7</f>
        <v>-3359.18869556838</v>
      </c>
      <c r="E12" s="9" t="n">
        <f aca="false">-Schedules!O7</f>
        <v>-3551.33428895489</v>
      </c>
      <c r="F12" s="9" t="n">
        <f aca="false">-Schedules!P7</f>
        <v>-3739.48841875159</v>
      </c>
      <c r="G12" s="9" t="n">
        <f aca="false">-Schedules!Q7</f>
        <v>-3869.84110268793</v>
      </c>
      <c r="H12" s="9" t="n">
        <f aca="false">-Schedules!R7</f>
        <v>-4049.22711507119</v>
      </c>
      <c r="I12" s="9" t="n">
        <f aca="false">-Schedules!S7</f>
        <v>-4175.14230214037</v>
      </c>
      <c r="J12" s="9" t="n">
        <f aca="false">-Schedules!T7</f>
        <v>-4330.01688631476</v>
      </c>
      <c r="K12" s="9" t="n">
        <f aca="false">-Schedules!U7</f>
        <v>-4462.87199266192</v>
      </c>
    </row>
    <row r="13" customFormat="false" ht="15" hidden="false" customHeight="false" outlineLevel="0" collapsed="false">
      <c r="A13" s="8" t="s">
        <v>276</v>
      </c>
      <c r="B13" s="9" t="n">
        <f aca="false">-Schedules!L12</f>
        <v>265.165132373894</v>
      </c>
      <c r="C13" s="9" t="n">
        <f aca="false">-Schedules!M12</f>
        <v>-293.867941359889</v>
      </c>
      <c r="D13" s="9" t="n">
        <f aca="false">-Schedules!N12</f>
        <v>-333.756475325409</v>
      </c>
      <c r="E13" s="9" t="n">
        <f aca="false">-Schedules!O12</f>
        <v>-358.563971010448</v>
      </c>
      <c r="F13" s="9" t="n">
        <f aca="false">-Schedules!P12</f>
        <v>-383.813340072706</v>
      </c>
      <c r="G13" s="9" t="n">
        <f aca="false">-Schedules!Q12</f>
        <v>-395.487596552609</v>
      </c>
      <c r="H13" s="9" t="n">
        <f aca="false">-Schedules!R12</f>
        <v>-412.121702139562</v>
      </c>
      <c r="I13" s="9" t="n">
        <f aca="false">-Schedules!S12</f>
        <v>-412.621476322707</v>
      </c>
      <c r="J13" s="9" t="n">
        <f aca="false">-Schedules!T12</f>
        <v>-434.618058037167</v>
      </c>
      <c r="K13" s="9" t="n">
        <f aca="false">-Schedules!U12</f>
        <v>-462.659163245271</v>
      </c>
    </row>
    <row r="14" customFormat="false" ht="15" hidden="false" customHeight="false" outlineLevel="0" collapsed="false">
      <c r="A14" s="6" t="s">
        <v>126</v>
      </c>
      <c r="B14" s="62" t="n">
        <f aca="false">B10+B11+B12+B13</f>
        <v>1373.59063687454</v>
      </c>
      <c r="C14" s="62" t="n">
        <f aca="false">C10+C11+C12+C13</f>
        <v>1276.52825761783</v>
      </c>
      <c r="D14" s="62" t="n">
        <f aca="false">D10+D11+D12+D13</f>
        <v>1763.83068056035</v>
      </c>
      <c r="E14" s="62" t="n">
        <f aca="false">E10+E11+E12+E13</f>
        <v>2334.75797323806</v>
      </c>
      <c r="F14" s="62" t="n">
        <f aca="false">F10+F11+F12+F13</f>
        <v>2951.2969185811</v>
      </c>
      <c r="G14" s="62" t="n">
        <f aca="false">G10+G11+G12+G13</f>
        <v>3656.34215917069</v>
      </c>
      <c r="H14" s="62" t="n">
        <f aca="false">H10+H11+H12+H13</f>
        <v>4332.15437113611</v>
      </c>
      <c r="I14" s="62" t="n">
        <f aca="false">I10+I11+I12+I13</f>
        <v>5076.01581841527</v>
      </c>
      <c r="J14" s="62" t="n">
        <f aca="false">J10+J11+J12+J13</f>
        <v>5807.67465543381</v>
      </c>
      <c r="K14" s="62" t="n">
        <f aca="false">K10+K11+K12+K13</f>
        <v>6609.17201065057</v>
      </c>
    </row>
    <row r="16" customFormat="false" ht="15" hidden="false" customHeight="false" outlineLevel="0" collapsed="false">
      <c r="A16" s="41" t="s">
        <v>277</v>
      </c>
    </row>
    <row r="17" customFormat="false" ht="15" hidden="false" customHeight="false" outlineLevel="0" collapsed="false">
      <c r="A17" s="8" t="s">
        <v>278</v>
      </c>
      <c r="B17" s="76" t="n">
        <v>46112</v>
      </c>
      <c r="C17" s="70" t="s">
        <v>279</v>
      </c>
    </row>
    <row r="18" customFormat="false" ht="15" hidden="false" customHeight="false" outlineLevel="0" collapsed="false">
      <c r="A18" s="8" t="s">
        <v>280</v>
      </c>
      <c r="B18" s="76" t="n">
        <v>46477</v>
      </c>
    </row>
    <row r="19" customFormat="false" ht="15" hidden="false" customHeight="false" outlineLevel="0" collapsed="false">
      <c r="A19" s="8" t="s">
        <v>281</v>
      </c>
      <c r="B19" s="76" t="n">
        <v>46309</v>
      </c>
    </row>
    <row r="20" customFormat="false" ht="15" hidden="false" customHeight="false" outlineLevel="0" collapsed="false">
      <c r="A20" s="8" t="s">
        <v>282</v>
      </c>
      <c r="B20" s="77" t="n">
        <f aca="false">MIN(1,MAX(0,(B18-B17)/365.25))</f>
        <v>0.999315537303217</v>
      </c>
    </row>
    <row r="21" customFormat="false" ht="15" hidden="false" customHeight="false" outlineLevel="0" collapsed="false">
      <c r="A21" s="8" t="s">
        <v>283</v>
      </c>
      <c r="B21" s="77" t="n">
        <f aca="false">$B$20</f>
        <v>0.999315537303217</v>
      </c>
      <c r="C21" s="78" t="n">
        <v>1</v>
      </c>
      <c r="D21" s="78" t="n">
        <v>1</v>
      </c>
      <c r="E21" s="78" t="n">
        <v>1</v>
      </c>
      <c r="F21" s="78" t="n">
        <v>1</v>
      </c>
      <c r="G21" s="78" t="n">
        <v>1</v>
      </c>
      <c r="H21" s="78" t="n">
        <v>1</v>
      </c>
      <c r="I21" s="78" t="n">
        <v>1</v>
      </c>
      <c r="J21" s="78" t="n">
        <v>1</v>
      </c>
      <c r="K21" s="78" t="n">
        <v>1</v>
      </c>
    </row>
    <row r="22" customFormat="false" ht="15" hidden="false" customHeight="false" outlineLevel="0" collapsed="false">
      <c r="A22" s="8" t="s">
        <v>284</v>
      </c>
      <c r="B22" s="72" t="n">
        <f aca="false">$B$20*0.5</f>
        <v>0.499657768651609</v>
      </c>
      <c r="C22" s="72" t="n">
        <f aca="false">$B$20+0.5</f>
        <v>1.49931553730322</v>
      </c>
      <c r="D22" s="72" t="n">
        <f aca="false">C22+1</f>
        <v>2.49931553730322</v>
      </c>
      <c r="E22" s="72" t="n">
        <f aca="false">D22+1</f>
        <v>3.49931553730322</v>
      </c>
      <c r="F22" s="72" t="n">
        <f aca="false">E22+1</f>
        <v>4.49931553730322</v>
      </c>
      <c r="G22" s="72" t="n">
        <f aca="false">F22+1</f>
        <v>5.49931553730322</v>
      </c>
      <c r="H22" s="72" t="n">
        <f aca="false">G22+1</f>
        <v>6.49931553730322</v>
      </c>
      <c r="I22" s="72" t="n">
        <f aca="false">H22+1</f>
        <v>7.49931553730322</v>
      </c>
      <c r="J22" s="72" t="n">
        <f aca="false">I22+1</f>
        <v>8.49931553730322</v>
      </c>
      <c r="K22" s="72" t="n">
        <f aca="false">J22+1</f>
        <v>9.49931553730322</v>
      </c>
    </row>
    <row r="23" customFormat="false" ht="15" hidden="false" customHeight="false" outlineLevel="0" collapsed="false">
      <c r="A23" s="8" t="s">
        <v>285</v>
      </c>
      <c r="B23" s="77" t="n">
        <f aca="false">1/(1+WACC!$B$18)^B22</f>
        <v>0.93891678382492</v>
      </c>
      <c r="C23" s="77" t="n">
        <f aca="false">1/(1+WACC!$B$18)^C22</f>
        <v>0.8276801863067</v>
      </c>
      <c r="D23" s="77" t="n">
        <f aca="false">1/(1+WACC!$B$18)^D22</f>
        <v>0.72959066163892</v>
      </c>
      <c r="E23" s="77" t="n">
        <f aca="false">1/(1+WACC!$B$18)^E22</f>
        <v>0.643125862328508</v>
      </c>
      <c r="F23" s="77" t="n">
        <f aca="false">1/(1+WACC!$B$18)^F22</f>
        <v>0.566908126080823</v>
      </c>
      <c r="G23" s="77" t="n">
        <f aca="false">1/(1+WACC!$B$18)^G22</f>
        <v>0.499723059266907</v>
      </c>
      <c r="H23" s="77" t="n">
        <f aca="false">1/(1+WACC!$B$18)^H22</f>
        <v>0.440500187727904</v>
      </c>
      <c r="I23" s="77" t="n">
        <f aca="false">1/(1+WACC!$B$18)^I22</f>
        <v>0.38829590067942</v>
      </c>
      <c r="J23" s="77" t="n">
        <f aca="false">1/(1+WACC!$B$18)^J22</f>
        <v>0.342278415957394</v>
      </c>
      <c r="K23" s="77" t="n">
        <f aca="false">1/(1+WACC!$B$18)^K22</f>
        <v>0.301714527053498</v>
      </c>
    </row>
    <row r="24" customFormat="false" ht="15" hidden="false" customHeight="false" outlineLevel="0" collapsed="false">
      <c r="A24" s="8" t="s">
        <v>286</v>
      </c>
      <c r="B24" s="51" t="n">
        <f aca="false">B14*B21*B23</f>
        <v>1288.8045602168</v>
      </c>
      <c r="C24" s="51" t="n">
        <f aca="false">C14*C21*C23</f>
        <v>1056.5571460909</v>
      </c>
      <c r="D24" s="51" t="n">
        <f aca="false">D14*D21*D23</f>
        <v>1286.87439324906</v>
      </c>
      <c r="E24" s="51" t="n">
        <f aca="false">E14*E21*E23</f>
        <v>1501.54323486709</v>
      </c>
      <c r="F24" s="51" t="n">
        <f aca="false">F14*F21*F23</f>
        <v>1673.11420562092</v>
      </c>
      <c r="G24" s="51" t="n">
        <f aca="false">G14*G21*G23</f>
        <v>1827.15848950734</v>
      </c>
      <c r="H24" s="51" t="n">
        <f aca="false">H14*H21*H23</f>
        <v>1908.31481375172</v>
      </c>
      <c r="I24" s="51" t="n">
        <f aca="false">I14*I21*I23</f>
        <v>1970.99613407454</v>
      </c>
      <c r="J24" s="51" t="n">
        <f aca="false">J14*J21*J23</f>
        <v>1987.84168145779</v>
      </c>
      <c r="K24" s="51" t="n">
        <f aca="false">K14*K21*K23</f>
        <v>1994.08320740865</v>
      </c>
    </row>
    <row r="26" customFormat="false" ht="15" hidden="false" customHeight="false" outlineLevel="0" collapsed="false">
      <c r="A26" s="41" t="s">
        <v>287</v>
      </c>
    </row>
    <row r="27" customFormat="false" ht="15" hidden="false" customHeight="false" outlineLevel="0" collapsed="false">
      <c r="A27" s="8" t="s">
        <v>22</v>
      </c>
      <c r="B27" s="18" t="n">
        <f aca="false">WACC!$B$18</f>
        <v>0.1344446</v>
      </c>
    </row>
    <row r="28" customFormat="false" ht="15" hidden="false" customHeight="false" outlineLevel="0" collapsed="false">
      <c r="A28" s="8" t="s">
        <v>269</v>
      </c>
      <c r="B28" s="19" t="n">
        <f aca="false">Scenarios!$B$32</f>
        <v>0.06</v>
      </c>
    </row>
    <row r="29" customFormat="false" ht="15" hidden="false" customHeight="false" outlineLevel="0" collapsed="false">
      <c r="A29" s="8" t="s">
        <v>288</v>
      </c>
      <c r="B29" s="42" t="n">
        <v>0.2</v>
      </c>
      <c r="C29" s="70" t="s">
        <v>289</v>
      </c>
    </row>
    <row r="30" customFormat="false" ht="15" hidden="false" customHeight="false" outlineLevel="0" collapsed="false">
      <c r="A30" s="8" t="s">
        <v>290</v>
      </c>
      <c r="B30" s="15" t="n">
        <f aca="false">$B$28/$B$29</f>
        <v>0.3</v>
      </c>
    </row>
    <row r="31" customFormat="false" ht="15" hidden="false" customHeight="false" outlineLevel="0" collapsed="false">
      <c r="A31" s="8" t="s">
        <v>291</v>
      </c>
      <c r="B31" s="51" t="n">
        <f aca="false">SUM(B24:K24)</f>
        <v>16495.2878662448</v>
      </c>
    </row>
    <row r="32" customFormat="false" ht="15" hidden="false" customHeight="false" outlineLevel="0" collapsed="false">
      <c r="A32" s="8" t="s">
        <v>292</v>
      </c>
      <c r="B32" s="51" t="n">
        <f aca="false">K10*(1+$B$28)*(1-$B$28/$B$29)/($B$27-$B$28)</f>
        <v>76121.8386661144</v>
      </c>
    </row>
    <row r="33" customFormat="false" ht="15" hidden="false" customHeight="false" outlineLevel="0" collapsed="false">
      <c r="A33" s="8" t="s">
        <v>293</v>
      </c>
      <c r="B33" s="51" t="n">
        <f aca="false">$B$32/(1+$B$27)^K22</f>
        <v>22967.0645515894</v>
      </c>
    </row>
    <row r="34" customFormat="false" ht="15" hidden="false" customHeight="false" outlineLevel="0" collapsed="false">
      <c r="A34" s="6" t="s">
        <v>294</v>
      </c>
      <c r="B34" s="62" t="n">
        <f aca="false">$B$31+$B$33</f>
        <v>39462.3524178342</v>
      </c>
    </row>
    <row r="35" customFormat="false" ht="15" hidden="false" customHeight="false" outlineLevel="0" collapsed="false">
      <c r="A35" s="8" t="s">
        <v>25</v>
      </c>
      <c r="B35" s="15" t="n">
        <f aca="false">$B$33/$B$34</f>
        <v>0.581999377746419</v>
      </c>
    </row>
    <row r="36" customFormat="false" ht="15" hidden="false" customHeight="false" outlineLevel="0" collapsed="false">
      <c r="A36" s="8" t="s">
        <v>295</v>
      </c>
      <c r="B36" s="79" t="n">
        <v>-430.64</v>
      </c>
      <c r="C36" s="70" t="s">
        <v>296</v>
      </c>
    </row>
    <row r="37" customFormat="false" ht="15" hidden="false" customHeight="false" outlineLevel="0" collapsed="false">
      <c r="A37" s="8" t="s">
        <v>297</v>
      </c>
      <c r="B37" s="79" t="n">
        <v>2061.36</v>
      </c>
      <c r="C37" s="70" t="s">
        <v>298</v>
      </c>
    </row>
    <row r="38" customFormat="false" ht="15" hidden="false" customHeight="false" outlineLevel="0" collapsed="false">
      <c r="A38" s="8" t="s">
        <v>299</v>
      </c>
      <c r="B38" s="79" t="n">
        <v>123.28</v>
      </c>
      <c r="C38" s="70" t="s">
        <v>300</v>
      </c>
    </row>
    <row r="39" customFormat="false" ht="15" hidden="false" customHeight="false" outlineLevel="0" collapsed="false">
      <c r="A39" s="8" t="s">
        <v>301</v>
      </c>
      <c r="B39" s="79" t="n">
        <v>737.38</v>
      </c>
      <c r="C39" s="70" t="s">
        <v>302</v>
      </c>
    </row>
    <row r="40" customFormat="false" ht="15" hidden="false" customHeight="false" outlineLevel="0" collapsed="false">
      <c r="A40" s="8" t="s">
        <v>303</v>
      </c>
      <c r="B40" s="51" t="n">
        <f aca="false">$B$34-$B$36-$B$37-$B$38+$B$39</f>
        <v>38445.7324178342</v>
      </c>
    </row>
    <row r="41" customFormat="false" ht="15" hidden="false" customHeight="false" outlineLevel="0" collapsed="false">
      <c r="A41" s="8" t="s">
        <v>304</v>
      </c>
      <c r="B41" s="19" t="n">
        <f aca="false">WACC!$B$10</f>
        <v>0.13587</v>
      </c>
    </row>
    <row r="42" customFormat="false" ht="15" hidden="false" customHeight="false" outlineLevel="0" collapsed="false">
      <c r="A42" s="8" t="s">
        <v>305</v>
      </c>
      <c r="B42" s="80" t="n">
        <f aca="false">(1+$B$41)^((B19-B17)/365.25)</f>
        <v>1.07112920722794</v>
      </c>
    </row>
    <row r="43" customFormat="false" ht="15" hidden="false" customHeight="false" outlineLevel="0" collapsed="false">
      <c r="A43" s="6" t="s">
        <v>306</v>
      </c>
      <c r="B43" s="62" t="n">
        <f aca="false">$B$40*$B$42</f>
        <v>41180.3468860122</v>
      </c>
    </row>
    <row r="44" customFormat="false" ht="15" hidden="false" customHeight="false" outlineLevel="0" collapsed="false">
      <c r="A44" s="8" t="s">
        <v>307</v>
      </c>
      <c r="B44" s="13" t="n">
        <f aca="false">Schedules!K23</f>
        <v>53.3232301</v>
      </c>
    </row>
    <row r="45" customFormat="false" ht="15" hidden="false" customHeight="false" outlineLevel="0" collapsed="false">
      <c r="A45" s="6" t="s">
        <v>308</v>
      </c>
      <c r="B45" s="47" t="n">
        <f aca="false">$B$43/$B$44</f>
        <v>772.277801040643</v>
      </c>
    </row>
    <row r="46" customFormat="false" ht="15" hidden="false" customHeight="false" outlineLevel="0" collapsed="false">
      <c r="A46" s="8" t="s">
        <v>12</v>
      </c>
      <c r="B46" s="81" t="n">
        <v>2971</v>
      </c>
      <c r="C46" s="70" t="s">
        <v>309</v>
      </c>
    </row>
    <row r="47" customFormat="false" ht="15" hidden="false" customHeight="false" outlineLevel="0" collapsed="false">
      <c r="A47" s="8" t="s">
        <v>310</v>
      </c>
      <c r="B47" s="15" t="n">
        <f aca="false">$B$45/$B$46-1</f>
        <v>-0.740061325802544</v>
      </c>
    </row>
    <row r="49" customFormat="false" ht="15" hidden="false" customHeight="false" outlineLevel="0" collapsed="false">
      <c r="A49" s="41" t="s">
        <v>311</v>
      </c>
    </row>
    <row r="50" customFormat="false" ht="15" hidden="false" customHeight="false" outlineLevel="0" collapsed="false">
      <c r="A50" s="8" t="s">
        <v>312</v>
      </c>
      <c r="B50" s="82" t="s">
        <v>313</v>
      </c>
      <c r="C50" s="70" t="s">
        <v>314</v>
      </c>
    </row>
    <row r="51" customFormat="false" ht="15" hidden="false" customHeight="false" outlineLevel="0" collapsed="false">
      <c r="A51" s="8" t="s">
        <v>315</v>
      </c>
      <c r="B51" s="39" t="n">
        <v>12</v>
      </c>
    </row>
    <row r="52" customFormat="false" ht="15" hidden="false" customHeight="false" outlineLevel="0" collapsed="false">
      <c r="A52" s="8" t="s">
        <v>316</v>
      </c>
      <c r="B52" s="46" t="n">
        <f aca="false">IF($B$50="Exit multiple",$B$68,$B$45)</f>
        <v>772.277801040643</v>
      </c>
    </row>
    <row r="53" customFormat="false" ht="15" hidden="false" customHeight="false" outlineLevel="0" collapsed="false">
      <c r="A53" s="8" t="s">
        <v>317</v>
      </c>
      <c r="B53" s="13" t="n">
        <f aca="false">IFERROR(Schedules!L22/Schedules!L23,0)</f>
        <v>3.44704155635991</v>
      </c>
      <c r="C53" s="70" t="s">
        <v>318</v>
      </c>
    </row>
    <row r="54" customFormat="false" ht="15" hidden="false" customHeight="false" outlineLevel="0" collapsed="false">
      <c r="A54" s="8" t="s">
        <v>319</v>
      </c>
      <c r="B54" s="46" t="n">
        <f aca="false">$B$52*(1+$B$41)^($B$51/12)-$B$53*$B$51/12</f>
        <v>873.760144311675</v>
      </c>
    </row>
    <row r="55" customFormat="false" ht="15" hidden="false" customHeight="false" outlineLevel="0" collapsed="false">
      <c r="A55" s="8" t="s">
        <v>320</v>
      </c>
      <c r="B55" s="39" t="n">
        <v>5</v>
      </c>
    </row>
    <row r="56" customFormat="false" ht="15" hidden="false" customHeight="false" outlineLevel="0" collapsed="false">
      <c r="A56" s="6" t="s">
        <v>321</v>
      </c>
      <c r="B56" s="47" t="n">
        <f aca="false">ROUND($B$54/$B$55,0)*$B$55</f>
        <v>875</v>
      </c>
    </row>
    <row r="57" customFormat="false" ht="15" hidden="false" customHeight="false" outlineLevel="0" collapsed="false">
      <c r="A57" s="8" t="s">
        <v>14</v>
      </c>
      <c r="B57" s="15" t="n">
        <f aca="false">$B$56/$B$46-1</f>
        <v>-0.705486368226187</v>
      </c>
    </row>
    <row r="58" customFormat="false" ht="15" hidden="false" customHeight="false" outlineLevel="0" collapsed="false">
      <c r="A58" s="8" t="s">
        <v>322</v>
      </c>
      <c r="B58" s="42" t="n">
        <v>0.15</v>
      </c>
      <c r="C58" s="70" t="s">
        <v>323</v>
      </c>
    </row>
    <row r="59" customFormat="false" ht="15" hidden="false" customHeight="false" outlineLevel="0" collapsed="false">
      <c r="A59" s="8" t="s">
        <v>324</v>
      </c>
      <c r="B59" s="42" t="n">
        <v>-0.1</v>
      </c>
      <c r="C59" s="70" t="s">
        <v>323</v>
      </c>
    </row>
    <row r="60" customFormat="false" ht="15" hidden="false" customHeight="false" outlineLevel="0" collapsed="false">
      <c r="A60" s="6" t="s">
        <v>325</v>
      </c>
      <c r="B60" s="40" t="str">
        <f aca="false">IF($B$57&gt;$B$58,"BUY",IF($B$57&lt;$B$59,"SELL","HOLD"))</f>
        <v>SELL</v>
      </c>
    </row>
    <row r="62" customFormat="false" ht="15" hidden="false" customHeight="false" outlineLevel="0" collapsed="false">
      <c r="A62" s="41" t="s">
        <v>326</v>
      </c>
    </row>
    <row r="63" customFormat="false" ht="15" hidden="false" customHeight="false" outlineLevel="0" collapsed="false">
      <c r="A63" s="8" t="s">
        <v>327</v>
      </c>
      <c r="B63" s="51" t="n">
        <f aca="false">K7</f>
        <v>13946.4749770685</v>
      </c>
    </row>
    <row r="64" customFormat="false" ht="15" hidden="false" customHeight="false" outlineLevel="0" collapsed="false">
      <c r="A64" s="8" t="s">
        <v>328</v>
      </c>
      <c r="B64" s="83" t="n">
        <f aca="false">$B$32/$B$63</f>
        <v>5.45814184525321</v>
      </c>
    </row>
    <row r="65" customFormat="false" ht="15" hidden="false" customHeight="false" outlineLevel="0" collapsed="false">
      <c r="A65" s="8" t="s">
        <v>329</v>
      </c>
      <c r="B65" s="84" t="n">
        <v>40</v>
      </c>
    </row>
    <row r="66" customFormat="false" ht="15" hidden="false" customHeight="false" outlineLevel="0" collapsed="false">
      <c r="A66" s="8" t="s">
        <v>330</v>
      </c>
      <c r="B66" s="51" t="n">
        <f aca="false">$B$65*$B$63</f>
        <v>557858.999082741</v>
      </c>
    </row>
    <row r="67" customFormat="false" ht="15" hidden="false" customHeight="false" outlineLevel="0" collapsed="false">
      <c r="A67" s="8" t="s">
        <v>331</v>
      </c>
      <c r="B67" s="51" t="n">
        <f aca="false">$B$66/(1+$B$27)^K22</f>
        <v>168314.164070787</v>
      </c>
    </row>
    <row r="68" customFormat="false" ht="15" hidden="false" customHeight="false" outlineLevel="0" collapsed="false">
      <c r="A68" s="6" t="s">
        <v>332</v>
      </c>
      <c r="B68" s="47" t="n">
        <f aca="false">($B$31+$B$67-$B$36-$B$37-$B$38+$B$39)*$B$42/$B$44</f>
        <v>3691.93445328982</v>
      </c>
    </row>
    <row r="69" customFormat="false" ht="15" hidden="false" customHeight="false" outlineLevel="0" collapsed="false">
      <c r="A69" s="8" t="s">
        <v>333</v>
      </c>
      <c r="B69" s="84" t="n">
        <v>25</v>
      </c>
      <c r="C69" s="70" t="s">
        <v>334</v>
      </c>
    </row>
    <row r="70" customFormat="false" ht="15" hidden="false" customHeight="false" outlineLevel="0" collapsed="false">
      <c r="A70" s="8" t="s">
        <v>335</v>
      </c>
      <c r="B70" s="46" t="n">
        <f aca="false">($B$31+$B$69*$B$63/(1+$B$27)^K22-$B$36-$B$37-$B$38+$B$39)*$B$42/$B$44</f>
        <v>2424.05680792582</v>
      </c>
    </row>
  </sheetData>
  <sheetProtection sheet="true" formatColumns="false" formatRows="false"/>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6" min="2" style="0" width="12"/>
  </cols>
  <sheetData>
    <row r="1" customFormat="false" ht="17.35" hidden="false" customHeight="false" outlineLevel="0" collapsed="false">
      <c r="A1" s="1" t="s">
        <v>336</v>
      </c>
    </row>
    <row r="2" customFormat="false" ht="15" hidden="false" customHeight="false" outlineLevel="0" collapsed="false">
      <c r="A2" s="2" t="s">
        <v>337</v>
      </c>
    </row>
    <row r="4" customFormat="false" ht="15" hidden="false" customHeight="false" outlineLevel="0" collapsed="false">
      <c r="A4" s="6" t="s">
        <v>338</v>
      </c>
      <c r="B4" s="42" t="n">
        <v>0.005</v>
      </c>
    </row>
    <row r="5" customFormat="false" ht="15" hidden="false" customHeight="false" outlineLevel="0" collapsed="false">
      <c r="A5" s="6" t="s">
        <v>339</v>
      </c>
      <c r="B5" s="84" t="n">
        <v>2</v>
      </c>
    </row>
    <row r="7" customFormat="false" ht="15" hidden="false" customHeight="false" outlineLevel="0" collapsed="false">
      <c r="A7" s="41" t="s">
        <v>340</v>
      </c>
    </row>
    <row r="8" customFormat="false" ht="15" hidden="false" customHeight="false" outlineLevel="0" collapsed="false">
      <c r="A8" s="40" t="s">
        <v>341</v>
      </c>
      <c r="B8" s="73" t="n">
        <f aca="false">DCF!$B$28+(-2)*$B$4</f>
        <v>0.05</v>
      </c>
      <c r="C8" s="73" t="n">
        <f aca="false">DCF!$B$28+(-1)*$B$4</f>
        <v>0.055</v>
      </c>
      <c r="D8" s="73" t="n">
        <f aca="false">DCF!$B$28+(0)*$B$4</f>
        <v>0.06</v>
      </c>
      <c r="E8" s="73" t="n">
        <f aca="false">DCF!$B$28+(1)*$B$4</f>
        <v>0.065</v>
      </c>
      <c r="F8" s="73" t="n">
        <f aca="false">DCF!$B$28+(2)*$B$4</f>
        <v>0.07</v>
      </c>
    </row>
    <row r="9" customFormat="false" ht="15" hidden="false" customHeight="false" outlineLevel="0" collapsed="false">
      <c r="A9" s="74" t="n">
        <f aca="false">DCF!$B$27+(-2)*$B$4</f>
        <v>0.1244446</v>
      </c>
      <c r="B9" s="46" t="n">
        <f aca="false">IF(B$8&gt;=$A9,NA(),(SUMPRODUCT(DCF!$B$14:$K$14,DCF!$B$21:$K$21,1/(1+$A9)^DCF!$B$22:$K$22)+DCF!$K$10*(1+B$8)*(1-B$8/DCF!$B$29)/($A9-B$8)/(1+$A9)^DCF!$K$22-DCF!$B$36-DCF!$B$37-DCF!$B$38+DCF!$B$39)*DCF!$B$42/DCF!$B$44)</f>
        <v>860.279040886981</v>
      </c>
      <c r="C9" s="46" t="n">
        <f aca="false">IF(C$8&gt;=$A9,NA(),(SUMPRODUCT(DCF!$B$14:$K$14,DCF!$B$21:$K$21,1/(1+$A9)^DCF!$B$22:$K$22)+DCF!$K$10*(1+C$8)*(1-C$8/DCF!$B$29)/($A9-C$8)/(1+$A9)^DCF!$K$22-DCF!$B$36-DCF!$B$37-DCF!$B$38+DCF!$B$39)*DCF!$B$42/DCF!$B$44)</f>
        <v>882.222927720412</v>
      </c>
      <c r="D9" s="46" t="n">
        <f aca="false">IF(D$8&gt;=$A9,NA(),(SUMPRODUCT(DCF!$B$14:$K$14,DCF!$B$21:$K$21,1/(1+$A9)^DCF!$B$22:$K$22)+DCF!$K$10*(1+D$8)*(1-D$8/DCF!$B$29)/($A9-D$8)/(1+$A9)^DCF!$K$22-DCF!$B$36-DCF!$B$37-DCF!$B$38+DCF!$B$39)*DCF!$B$42/DCF!$B$44)</f>
        <v>907.376574919435</v>
      </c>
      <c r="E9" s="46" t="n">
        <f aca="false">IF(E$8&gt;=$A9,NA(),(SUMPRODUCT(DCF!$B$14:$K$14,DCF!$B$21:$K$21,1/(1+$A9)^DCF!$B$22:$K$22)+DCF!$K$10*(1+E$8)*(1-E$8/DCF!$B$29)/($A9-E$8)/(1+$A9)^DCF!$K$22-DCF!$B$36-DCF!$B$37-DCF!$B$38+DCF!$B$39)*DCF!$B$42/DCF!$B$44)</f>
        <v>936.549919896092</v>
      </c>
      <c r="F9" s="46" t="n">
        <f aca="false">IF(F$8&gt;=$A9,NA(),(SUMPRODUCT(DCF!$B$14:$K$14,DCF!$B$21:$K$21,1/(1+$A9)^DCF!$B$22:$K$22)+DCF!$K$10*(1+F$8)*(1-F$8/DCF!$B$29)/($A9-F$8)/(1+$A9)^DCF!$K$22-DCF!$B$36-DCF!$B$37-DCF!$B$38+DCF!$B$39)*DCF!$B$42/DCF!$B$44)</f>
        <v>970.850427241263</v>
      </c>
    </row>
    <row r="10" customFormat="false" ht="15" hidden="false" customHeight="false" outlineLevel="0" collapsed="false">
      <c r="A10" s="74" t="n">
        <f aca="false">DCF!$B$27+(-1)*$B$4</f>
        <v>0.1294446</v>
      </c>
      <c r="B10" s="46" t="n">
        <f aca="false">IF(B$8&gt;=$A10,NA(),(SUMPRODUCT(DCF!$B$14:$K$14,DCF!$B$21:$K$21,1/(1+$A10)^DCF!$B$22:$K$22)+DCF!$K$10*(1+B$8)*(1-B$8/DCF!$B$29)/($A10-B$8)/(1+$A10)^DCF!$K$22-DCF!$B$36-DCF!$B$37-DCF!$B$38+DCF!$B$39)*DCF!$B$42/DCF!$B$44)</f>
        <v>797.639896605618</v>
      </c>
      <c r="C10" s="46" t="n">
        <f aca="false">IF(C$8&gt;=$A10,NA(),(SUMPRODUCT(DCF!$B$14:$K$14,DCF!$B$21:$K$21,1/(1+$A10)^DCF!$B$22:$K$22)+DCF!$K$10*(1+C$8)*(1-C$8/DCF!$B$29)/($A10-C$8)/(1+$A10)^DCF!$K$22-DCF!$B$36-DCF!$B$37-DCF!$B$38+DCF!$B$39)*DCF!$B$42/DCF!$B$44)</f>
        <v>815.106677140312</v>
      </c>
      <c r="D10" s="46" t="n">
        <f aca="false">IF(D$8&gt;=$A10,NA(),(SUMPRODUCT(DCF!$B$14:$K$14,DCF!$B$21:$K$21,1/(1+$A10)^DCF!$B$22:$K$22)+DCF!$K$10*(1+D$8)*(1-D$8/DCF!$B$29)/($A10-D$8)/(1+$A10)^DCF!$K$22-DCF!$B$36-DCF!$B$37-DCF!$B$38+DCF!$B$39)*DCF!$B$42/DCF!$B$44)</f>
        <v>834.914894427983</v>
      </c>
      <c r="E10" s="46" t="n">
        <f aca="false">IF(E$8&gt;=$A10,NA(),(SUMPRODUCT(DCF!$B$14:$K$14,DCF!$B$21:$K$21,1/(1+$A10)^DCF!$B$22:$K$22)+DCF!$K$10*(1+E$8)*(1-E$8/DCF!$B$29)/($A10-E$8)/(1+$A10)^DCF!$K$22-DCF!$B$36-DCF!$B$37-DCF!$B$38+DCF!$B$39)*DCF!$B$42/DCF!$B$44)</f>
        <v>857.609536742197</v>
      </c>
      <c r="F10" s="46" t="n">
        <f aca="false">IF(F$8&gt;=$A10,NA(),(SUMPRODUCT(DCF!$B$14:$K$14,DCF!$B$21:$K$21,1/(1+$A10)^DCF!$B$22:$K$22)+DCF!$K$10*(1+F$8)*(1-F$8/DCF!$B$29)/($A10-F$8)/(1+$A10)^DCF!$K$22-DCF!$B$36-DCF!$B$37-DCF!$B$38+DCF!$B$39)*DCF!$B$42/DCF!$B$44)</f>
        <v>883.918952417338</v>
      </c>
    </row>
    <row r="11" customFormat="false" ht="15" hidden="false" customHeight="false" outlineLevel="0" collapsed="false">
      <c r="A11" s="74" t="n">
        <f aca="false">DCF!$B$27+(0)*$B$4</f>
        <v>0.1344446</v>
      </c>
      <c r="B11" s="46" t="n">
        <f aca="false">IF(B$8&gt;=$A11,NA(),(SUMPRODUCT(DCF!$B$14:$K$14,DCF!$B$21:$K$21,1/(1+$A11)^DCF!$B$22:$K$22)+DCF!$K$10*(1+B$8)*(1-B$8/DCF!$B$29)/($A11-B$8)/(1+$A11)^DCF!$K$22-DCF!$B$36-DCF!$B$37-DCF!$B$38+DCF!$B$39)*DCF!$B$42/DCF!$B$44)</f>
        <v>742.584488852484</v>
      </c>
      <c r="C11" s="46" t="n">
        <f aca="false">IF(C$8&gt;=$A11,NA(),(SUMPRODUCT(DCF!$B$14:$K$14,DCF!$B$21:$K$21,1/(1+$A11)^DCF!$B$22:$K$22)+DCF!$K$10*(1+C$8)*(1-C$8/DCF!$B$29)/($A11-C$8)/(1+$A11)^DCF!$K$22-DCF!$B$36-DCF!$B$37-DCF!$B$38+DCF!$B$39)*DCF!$B$42/DCF!$B$44)</f>
        <v>756.569571095754</v>
      </c>
      <c r="D11" s="47" t="n">
        <f aca="false">IF(D$8&gt;=$A11,NA(),(SUMPRODUCT(DCF!$B$14:$K$14,DCF!$B$21:$K$21,1/(1+$A11)^DCF!$B$22:$K$22)+DCF!$K$10*(1+D$8)*(1-D$8/DCF!$B$29)/($A11-D$8)/(1+$A11)^DCF!$K$22-DCF!$B$36-DCF!$B$37-DCF!$B$38+DCF!$B$39)*DCF!$B$42/DCF!$B$44)</f>
        <v>772.277801040643</v>
      </c>
      <c r="E11" s="46" t="n">
        <f aca="false">IF(E$8&gt;=$A11,NA(),(SUMPRODUCT(DCF!$B$14:$K$14,DCF!$B$21:$K$21,1/(1+$A11)^DCF!$B$22:$K$22)+DCF!$K$10*(1+E$8)*(1-E$8/DCF!$B$29)/($A11-E$8)/(1+$A11)^DCF!$K$22-DCF!$B$36-DCF!$B$37-DCF!$B$38+DCF!$B$39)*DCF!$B$42/DCF!$B$44)</f>
        <v>790.081377756975</v>
      </c>
      <c r="F11" s="46" t="n">
        <f aca="false">IF(F$8&gt;=$A11,NA(),(SUMPRODUCT(DCF!$B$14:$K$14,DCF!$B$21:$K$21,1/(1+$A11)^DCF!$B$22:$K$22)+DCF!$K$10*(1+F$8)*(1-F$8/DCF!$B$29)/($A11-F$8)/(1+$A11)^DCF!$K$22-DCF!$B$36-DCF!$B$37-DCF!$B$38+DCF!$B$39)*DCF!$B$42/DCF!$B$44)</f>
        <v>810.468010091909</v>
      </c>
    </row>
    <row r="12" customFormat="false" ht="15" hidden="false" customHeight="false" outlineLevel="0" collapsed="false">
      <c r="A12" s="74" t="n">
        <f aca="false">DCF!$B$27+(1)*$B$4</f>
        <v>0.1394446</v>
      </c>
      <c r="B12" s="46" t="n">
        <f aca="false">IF(B$8&gt;=$A12,NA(),(SUMPRODUCT(DCF!$B$14:$K$14,DCF!$B$21:$K$21,1/(1+$A12)^DCF!$B$22:$K$22)+DCF!$K$10*(1+B$8)*(1-B$8/DCF!$B$29)/($A12-B$8)/(1+$A12)^DCF!$K$22-DCF!$B$36-DCF!$B$37-DCF!$B$38+DCF!$B$39)*DCF!$B$42/DCF!$B$44)</f>
        <v>693.837143983987</v>
      </c>
      <c r="C12" s="46" t="n">
        <f aca="false">IF(C$8&gt;=$A12,NA(),(SUMPRODUCT(DCF!$B$14:$K$14,DCF!$B$21:$K$21,1/(1+$A12)^DCF!$B$22:$K$22)+DCF!$K$10*(1+C$8)*(1-C$8/DCF!$B$29)/($A12-C$8)/(1+$A12)^DCF!$K$22-DCF!$B$36-DCF!$B$37-DCF!$B$38+DCF!$B$39)*DCF!$B$42/DCF!$B$44)</f>
        <v>705.08556074213</v>
      </c>
      <c r="D12" s="46" t="n">
        <f aca="false">IF(D$8&gt;=$A12,NA(),(SUMPRODUCT(DCF!$B$14:$K$14,DCF!$B$21:$K$21,1/(1+$A12)^DCF!$B$22:$K$22)+DCF!$K$10*(1+D$8)*(1-D$8/DCF!$B$29)/($A12-D$8)/(1+$A12)^DCF!$K$22-DCF!$B$36-DCF!$B$37-DCF!$B$38+DCF!$B$39)*DCF!$B$42/DCF!$B$44)</f>
        <v>717.610160492369</v>
      </c>
      <c r="E12" s="46" t="n">
        <f aca="false">IF(E$8&gt;=$A12,NA(),(SUMPRODUCT(DCF!$B$14:$K$14,DCF!$B$21:$K$21,1/(1+$A12)^DCF!$B$22:$K$22)+DCF!$K$10*(1+E$8)*(1-E$8/DCF!$B$29)/($A12-E$8)/(1+$A12)^DCF!$K$22-DCF!$B$36-DCF!$B$37-DCF!$B$38+DCF!$B$39)*DCF!$B$42/DCF!$B$44)</f>
        <v>731.668084046546</v>
      </c>
      <c r="F12" s="46" t="n">
        <f aca="false">IF(F$8&gt;=$A12,NA(),(SUMPRODUCT(DCF!$B$14:$K$14,DCF!$B$21:$K$21,1/(1+$A12)^DCF!$B$22:$K$22)+DCF!$K$10*(1+F$8)*(1-F$8/DCF!$B$29)/($A12-F$8)/(1+$A12)^DCF!$K$22-DCF!$B$36-DCF!$B$37-DCF!$B$38+DCF!$B$39)*DCF!$B$42/DCF!$B$44)</f>
        <v>747.590528604433</v>
      </c>
    </row>
    <row r="13" customFormat="false" ht="15" hidden="false" customHeight="false" outlineLevel="0" collapsed="false">
      <c r="A13" s="74" t="n">
        <f aca="false">DCF!$B$27+(2)*$B$4</f>
        <v>0.1444446</v>
      </c>
      <c r="B13" s="46" t="n">
        <f aca="false">IF(B$8&gt;=$A13,NA(),(SUMPRODUCT(DCF!$B$14:$K$14,DCF!$B$21:$K$21,1/(1+$A13)^DCF!$B$22:$K$22)+DCF!$K$10*(1+B$8)*(1-B$8/DCF!$B$29)/($A13-B$8)/(1+$A13)^DCF!$K$22-DCF!$B$36-DCF!$B$37-DCF!$B$38+DCF!$B$39)*DCF!$B$42/DCF!$B$44)</f>
        <v>650.392411968307</v>
      </c>
      <c r="C13" s="46" t="n">
        <f aca="false">IF(C$8&gt;=$A13,NA(),(SUMPRODUCT(DCF!$B$14:$K$14,DCF!$B$21:$K$21,1/(1+$A13)^DCF!$B$22:$K$22)+DCF!$K$10*(1+C$8)*(1-C$8/DCF!$B$29)/($A13-C$8)/(1+$A13)^DCF!$K$22-DCF!$B$36-DCF!$B$37-DCF!$B$38+DCF!$B$39)*DCF!$B$42/DCF!$B$44)</f>
        <v>659.469815574924</v>
      </c>
      <c r="D13" s="46" t="n">
        <f aca="false">IF(D$8&gt;=$A13,NA(),(SUMPRODUCT(DCF!$B$14:$K$14,DCF!$B$21:$K$21,1/(1+$A13)^DCF!$B$22:$K$22)+DCF!$K$10*(1+D$8)*(1-D$8/DCF!$B$29)/($A13-D$8)/(1+$A13)^DCF!$K$22-DCF!$B$36-DCF!$B$37-DCF!$B$38+DCF!$B$39)*DCF!$B$42/DCF!$B$44)</f>
        <v>669.49609995947</v>
      </c>
      <c r="E13" s="46" t="n">
        <f aca="false">IF(E$8&gt;=$A13,NA(),(SUMPRODUCT(DCF!$B$14:$K$14,DCF!$B$21:$K$21,1/(1+$A13)^DCF!$B$22:$K$22)+DCF!$K$10*(1+E$8)*(1-E$8/DCF!$B$29)/($A13-E$8)/(1+$A13)^DCF!$K$22-DCF!$B$36-DCF!$B$37-DCF!$B$38+DCF!$B$39)*DCF!$B$42/DCF!$B$44)</f>
        <v>680.650424078865</v>
      </c>
      <c r="F13" s="46" t="n">
        <f aca="false">IF(F$8&gt;=$A13,NA(),(SUMPRODUCT(DCF!$B$14:$K$14,DCF!$B$21:$K$21,1/(1+$A13)^DCF!$B$22:$K$22)+DCF!$K$10*(1+F$8)*(1-F$8/DCF!$B$29)/($A13-F$8)/(1+$A13)^DCF!$K$22-DCF!$B$36-DCF!$B$37-DCF!$B$38+DCF!$B$39)*DCF!$B$42/DCF!$B$44)</f>
        <v>693.160079046536</v>
      </c>
    </row>
    <row r="15" customFormat="false" ht="15" hidden="false" customHeight="false" outlineLevel="0" collapsed="false">
      <c r="A15" s="41" t="s">
        <v>342</v>
      </c>
    </row>
    <row r="16" customFormat="false" ht="15" hidden="false" customHeight="false" outlineLevel="0" collapsed="false">
      <c r="A16" s="40" t="s">
        <v>343</v>
      </c>
      <c r="B16" s="85" t="n">
        <f aca="false">DCF!$B$65+(-2)*$B$5</f>
        <v>36</v>
      </c>
      <c r="C16" s="85" t="n">
        <f aca="false">DCF!$B$65+(-1)*$B$5</f>
        <v>38</v>
      </c>
      <c r="D16" s="85" t="n">
        <f aca="false">DCF!$B$65+(0)*$B$5</f>
        <v>40</v>
      </c>
      <c r="E16" s="85" t="n">
        <f aca="false">DCF!$B$65+(1)*$B$5</f>
        <v>42</v>
      </c>
      <c r="F16" s="85" t="n">
        <f aca="false">DCF!$B$65+(2)*$B$5</f>
        <v>44</v>
      </c>
    </row>
    <row r="17" customFormat="false" ht="15" hidden="false" customHeight="false" outlineLevel="0" collapsed="false">
      <c r="A17" s="74" t="n">
        <f aca="false">DCF!$B$27+(-2)*$B$4</f>
        <v>0.1244446</v>
      </c>
      <c r="B17" s="46" t="n">
        <f aca="false">(SUMPRODUCT(DCF!$B$14:$K$14,DCF!$B$21:$K$21,1/(1+$A17)^DCF!$B$22:$K$22)+B$16*DCF!$B$63/(1+$A17)^DCF!$K$22-DCF!$B$36-DCF!$B$37-DCF!$B$38+DCF!$B$39)*DCF!$B$42/DCF!$B$44</f>
        <v>3637.58059244084</v>
      </c>
      <c r="C17" s="46" t="n">
        <f aca="false">(SUMPRODUCT(DCF!$B$14:$K$14,DCF!$B$21:$K$21,1/(1+$A17)^DCF!$B$22:$K$22)+C$16*DCF!$B$63/(1+$A17)^DCF!$K$22-DCF!$B$36-DCF!$B$37-DCF!$B$38+DCF!$B$39)*DCF!$B$42/DCF!$B$44</f>
        <v>3821.46424651982</v>
      </c>
      <c r="D17" s="46" t="n">
        <f aca="false">(SUMPRODUCT(DCF!$B$14:$K$14,DCF!$B$21:$K$21,1/(1+$A17)^DCF!$B$22:$K$22)+D$16*DCF!$B$63/(1+$A17)^DCF!$K$22-DCF!$B$36-DCF!$B$37-DCF!$B$38+DCF!$B$39)*DCF!$B$42/DCF!$B$44</f>
        <v>4005.34790059881</v>
      </c>
      <c r="E17" s="46" t="n">
        <f aca="false">(SUMPRODUCT(DCF!$B$14:$K$14,DCF!$B$21:$K$21,1/(1+$A17)^DCF!$B$22:$K$22)+E$16*DCF!$B$63/(1+$A17)^DCF!$K$22-DCF!$B$36-DCF!$B$37-DCF!$B$38+DCF!$B$39)*DCF!$B$42/DCF!$B$44</f>
        <v>4189.23155467779</v>
      </c>
      <c r="F17" s="46" t="n">
        <f aca="false">(SUMPRODUCT(DCF!$B$14:$K$14,DCF!$B$21:$K$21,1/(1+$A17)^DCF!$B$22:$K$22)+F$16*DCF!$B$63/(1+$A17)^DCF!$K$22-DCF!$B$36-DCF!$B$37-DCF!$B$38+DCF!$B$39)*DCF!$B$42/DCF!$B$44</f>
        <v>4373.11520875678</v>
      </c>
    </row>
    <row r="18" customFormat="false" ht="15" hidden="false" customHeight="false" outlineLevel="0" collapsed="false">
      <c r="A18" s="74" t="n">
        <f aca="false">DCF!$B$27+(-1)*$B$4</f>
        <v>0.1294446</v>
      </c>
      <c r="B18" s="46" t="n">
        <f aca="false">(SUMPRODUCT(DCF!$B$14:$K$14,DCF!$B$21:$K$21,1/(1+$A18)^DCF!$B$22:$K$22)+B$16*DCF!$B$63/(1+$A18)^DCF!$K$22-DCF!$B$36-DCF!$B$37-DCF!$B$38+DCF!$B$39)*DCF!$B$42/DCF!$B$44</f>
        <v>3492.45765630911</v>
      </c>
      <c r="C18" s="46" t="n">
        <f aca="false">(SUMPRODUCT(DCF!$B$14:$K$14,DCF!$B$21:$K$21,1/(1+$A18)^DCF!$B$22:$K$22)+C$16*DCF!$B$63/(1+$A18)^DCF!$K$22-DCF!$B$36-DCF!$B$37-DCF!$B$38+DCF!$B$39)*DCF!$B$42/DCF!$B$44</f>
        <v>3668.75232427602</v>
      </c>
      <c r="D18" s="46" t="n">
        <f aca="false">(SUMPRODUCT(DCF!$B$14:$K$14,DCF!$B$21:$K$21,1/(1+$A18)^DCF!$B$22:$K$22)+D$16*DCF!$B$63/(1+$A18)^DCF!$K$22-DCF!$B$36-DCF!$B$37-DCF!$B$38+DCF!$B$39)*DCF!$B$42/DCF!$B$44</f>
        <v>3845.04699224294</v>
      </c>
      <c r="E18" s="46" t="n">
        <f aca="false">(SUMPRODUCT(DCF!$B$14:$K$14,DCF!$B$21:$K$21,1/(1+$A18)^DCF!$B$22:$K$22)+E$16*DCF!$B$63/(1+$A18)^DCF!$K$22-DCF!$B$36-DCF!$B$37-DCF!$B$38+DCF!$B$39)*DCF!$B$42/DCF!$B$44</f>
        <v>4021.34166020985</v>
      </c>
      <c r="F18" s="46" t="n">
        <f aca="false">(SUMPRODUCT(DCF!$B$14:$K$14,DCF!$B$21:$K$21,1/(1+$A18)^DCF!$B$22:$K$22)+F$16*DCF!$B$63/(1+$A18)^DCF!$K$22-DCF!$B$36-DCF!$B$37-DCF!$B$38+DCF!$B$39)*DCF!$B$42/DCF!$B$44</f>
        <v>4197.63632817677</v>
      </c>
    </row>
    <row r="19" customFormat="false" ht="15" hidden="false" customHeight="false" outlineLevel="0" collapsed="false">
      <c r="A19" s="74" t="n">
        <f aca="false">DCF!$B$27+(0)*$B$4</f>
        <v>0.1344446</v>
      </c>
      <c r="B19" s="46" t="n">
        <f aca="false">(SUMPRODUCT(DCF!$B$14:$K$14,DCF!$B$21:$K$21,1/(1+$A19)^DCF!$B$22:$K$22)+B$16*DCF!$B$63/(1+$A19)^DCF!$K$22-DCF!$B$36-DCF!$B$37-DCF!$B$38+DCF!$B$39)*DCF!$B$42/DCF!$B$44</f>
        <v>3353.83374785942</v>
      </c>
      <c r="C19" s="46" t="n">
        <f aca="false">(SUMPRODUCT(DCF!$B$14:$K$14,DCF!$B$21:$K$21,1/(1+$A19)^DCF!$B$22:$K$22)+C$16*DCF!$B$63/(1+$A19)^DCF!$K$22-DCF!$B$36-DCF!$B$37-DCF!$B$38+DCF!$B$39)*DCF!$B$42/DCF!$B$44</f>
        <v>3522.88410057462</v>
      </c>
      <c r="D19" s="47" t="n">
        <f aca="false">(SUMPRODUCT(DCF!$B$14:$K$14,DCF!$B$21:$K$21,1/(1+$A19)^DCF!$B$22:$K$22)+D$16*DCF!$B$63/(1+$A19)^DCF!$K$22-DCF!$B$36-DCF!$B$37-DCF!$B$38+DCF!$B$39)*DCF!$B$42/DCF!$B$44</f>
        <v>3691.93445328982</v>
      </c>
      <c r="E19" s="46" t="n">
        <f aca="false">(SUMPRODUCT(DCF!$B$14:$K$14,DCF!$B$21:$K$21,1/(1+$A19)^DCF!$B$22:$K$22)+E$16*DCF!$B$63/(1+$A19)^DCF!$K$22-DCF!$B$36-DCF!$B$37-DCF!$B$38+DCF!$B$39)*DCF!$B$42/DCF!$B$44</f>
        <v>3860.98480600502</v>
      </c>
      <c r="F19" s="46" t="n">
        <f aca="false">(SUMPRODUCT(DCF!$B$14:$K$14,DCF!$B$21:$K$21,1/(1+$A19)^DCF!$B$22:$K$22)+F$16*DCF!$B$63/(1+$A19)^DCF!$K$22-DCF!$B$36-DCF!$B$37-DCF!$B$38+DCF!$B$39)*DCF!$B$42/DCF!$B$44</f>
        <v>4030.03515872022</v>
      </c>
    </row>
    <row r="20" customFormat="false" ht="15" hidden="false" customHeight="false" outlineLevel="0" collapsed="false">
      <c r="A20" s="74" t="n">
        <f aca="false">DCF!$B$27+(1)*$B$4</f>
        <v>0.1394446</v>
      </c>
      <c r="B20" s="46" t="n">
        <f aca="false">(SUMPRODUCT(DCF!$B$14:$K$14,DCF!$B$21:$K$21,1/(1+$A20)^DCF!$B$22:$K$22)+B$16*DCF!$B$63/(1+$A20)^DCF!$K$22-DCF!$B$36-DCF!$B$37-DCF!$B$38+DCF!$B$39)*DCF!$B$42/DCF!$B$44</f>
        <v>3221.38941061081</v>
      </c>
      <c r="C20" s="46" t="n">
        <f aca="false">(SUMPRODUCT(DCF!$B$14:$K$14,DCF!$B$21:$K$21,1/(1+$A20)^DCF!$B$22:$K$22)+C$16*DCF!$B$63/(1+$A20)^DCF!$K$22-DCF!$B$36-DCF!$B$37-DCF!$B$38+DCF!$B$39)*DCF!$B$42/DCF!$B$44</f>
        <v>3383.5230480477</v>
      </c>
      <c r="D20" s="46" t="n">
        <f aca="false">(SUMPRODUCT(DCF!$B$14:$K$14,DCF!$B$21:$K$21,1/(1+$A20)^DCF!$B$22:$K$22)+D$16*DCF!$B$63/(1+$A20)^DCF!$K$22-DCF!$B$36-DCF!$B$37-DCF!$B$38+DCF!$B$39)*DCF!$B$42/DCF!$B$44</f>
        <v>3545.65668548458</v>
      </c>
      <c r="E20" s="46" t="n">
        <f aca="false">(SUMPRODUCT(DCF!$B$14:$K$14,DCF!$B$21:$K$21,1/(1+$A20)^DCF!$B$22:$K$22)+E$16*DCF!$B$63/(1+$A20)^DCF!$K$22-DCF!$B$36-DCF!$B$37-DCF!$B$38+DCF!$B$39)*DCF!$B$42/DCF!$B$44</f>
        <v>3707.79032292146</v>
      </c>
      <c r="F20" s="46" t="n">
        <f aca="false">(SUMPRODUCT(DCF!$B$14:$K$14,DCF!$B$21:$K$21,1/(1+$A20)^DCF!$B$22:$K$22)+F$16*DCF!$B$63/(1+$A20)^DCF!$K$22-DCF!$B$36-DCF!$B$37-DCF!$B$38+DCF!$B$39)*DCF!$B$42/DCF!$B$44</f>
        <v>3869.92396035834</v>
      </c>
    </row>
    <row r="21" customFormat="false" ht="15" hidden="false" customHeight="false" outlineLevel="0" collapsed="false">
      <c r="A21" s="74" t="n">
        <f aca="false">DCF!$B$27+(2)*$B$4</f>
        <v>0.1444446</v>
      </c>
      <c r="B21" s="46" t="n">
        <f aca="false">(SUMPRODUCT(DCF!$B$14:$K$14,DCF!$B$21:$K$21,1/(1+$A21)^DCF!$B$22:$K$22)+B$16*DCF!$B$63/(1+$A21)^DCF!$K$22-DCF!$B$36-DCF!$B$37-DCF!$B$38+DCF!$B$39)*DCF!$B$42/DCF!$B$44</f>
        <v>3094.82223082987</v>
      </c>
      <c r="C21" s="46" t="n">
        <f aca="false">(SUMPRODUCT(DCF!$B$14:$K$14,DCF!$B$21:$K$21,1/(1+$A21)^DCF!$B$22:$K$22)+C$16*DCF!$B$63/(1+$A21)^DCF!$K$22-DCF!$B$36-DCF!$B$37-DCF!$B$38+DCF!$B$39)*DCF!$B$42/DCF!$B$44</f>
        <v>3250.35059713511</v>
      </c>
      <c r="D21" s="46" t="n">
        <f aca="false">(SUMPRODUCT(DCF!$B$14:$K$14,DCF!$B$21:$K$21,1/(1+$A21)^DCF!$B$22:$K$22)+D$16*DCF!$B$63/(1+$A21)^DCF!$K$22-DCF!$B$36-DCF!$B$37-DCF!$B$38+DCF!$B$39)*DCF!$B$42/DCF!$B$44</f>
        <v>3405.87896344034</v>
      </c>
      <c r="E21" s="46" t="n">
        <f aca="false">(SUMPRODUCT(DCF!$B$14:$K$14,DCF!$B$21:$K$21,1/(1+$A21)^DCF!$B$22:$K$22)+E$16*DCF!$B$63/(1+$A21)^DCF!$K$22-DCF!$B$36-DCF!$B$37-DCF!$B$38+DCF!$B$39)*DCF!$B$42/DCF!$B$44</f>
        <v>3561.40732974558</v>
      </c>
      <c r="F21" s="46" t="n">
        <f aca="false">(SUMPRODUCT(DCF!$B$14:$K$14,DCF!$B$21:$K$21,1/(1+$A21)^DCF!$B$22:$K$22)+F$16*DCF!$B$63/(1+$A21)^DCF!$K$22-DCF!$B$36-DCF!$B$37-DCF!$B$38+DCF!$B$39)*DCF!$B$42/DCF!$B$44</f>
        <v>3716.93569605081</v>
      </c>
    </row>
  </sheetData>
  <sheetProtection sheet="true" formatColumns="false" formatRows="false"/>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6" min="2" style="0" width="15"/>
    <col collapsed="false" customWidth="true" hidden="false" outlineLevel="0" max="7" min="7" style="0" width="60"/>
  </cols>
  <sheetData>
    <row r="1" customFormat="false" ht="17.35" hidden="false" customHeight="false" outlineLevel="0" collapsed="false">
      <c r="A1" s="1" t="s">
        <v>344</v>
      </c>
    </row>
    <row r="2" customFormat="false" ht="15" hidden="false" customHeight="false" outlineLevel="0" collapsed="false">
      <c r="A2" s="2" t="s">
        <v>345</v>
      </c>
    </row>
    <row r="4" customFormat="false" ht="15" hidden="false" customHeight="false" outlineLevel="0" collapsed="false">
      <c r="A4" s="3" t="s">
        <v>346</v>
      </c>
      <c r="B4" s="4" t="s">
        <v>347</v>
      </c>
      <c r="C4" s="4" t="s">
        <v>348</v>
      </c>
      <c r="D4" s="4" t="s">
        <v>349</v>
      </c>
      <c r="E4" s="4" t="s">
        <v>350</v>
      </c>
      <c r="F4" s="4" t="s">
        <v>351</v>
      </c>
      <c r="G4" s="4" t="s">
        <v>352</v>
      </c>
    </row>
    <row r="5" customFormat="false" ht="15" hidden="false" customHeight="false" outlineLevel="0" collapsed="false">
      <c r="A5" s="8" t="s">
        <v>353</v>
      </c>
      <c r="B5" s="46" t="n">
        <v>772</v>
      </c>
      <c r="C5" s="86" t="n">
        <v>-0.03</v>
      </c>
      <c r="D5" s="87" t="s">
        <v>6</v>
      </c>
      <c r="E5" s="83" t="n">
        <v>25.16</v>
      </c>
      <c r="F5" s="51" t="n">
        <v>624</v>
      </c>
      <c r="G5" s="87" t="s">
        <v>354</v>
      </c>
    </row>
    <row r="6" customFormat="false" ht="15" hidden="false" customHeight="false" outlineLevel="0" collapsed="false">
      <c r="A6" s="8" t="s">
        <v>355</v>
      </c>
      <c r="B6" s="46" t="n">
        <v>729</v>
      </c>
      <c r="C6" s="86" t="n">
        <v>-0.27</v>
      </c>
      <c r="D6" s="87" t="s">
        <v>6</v>
      </c>
      <c r="E6" s="83" t="n">
        <v>28.11</v>
      </c>
      <c r="F6" s="51" t="n">
        <v>0</v>
      </c>
      <c r="G6" s="87" t="s">
        <v>356</v>
      </c>
    </row>
    <row r="7" customFormat="false" ht="15" hidden="false" customHeight="false" outlineLevel="0" collapsed="false">
      <c r="A7" s="8" t="s">
        <v>357</v>
      </c>
      <c r="B7" s="46" t="n">
        <v>742</v>
      </c>
      <c r="C7" s="86" t="n">
        <v>-0.05</v>
      </c>
      <c r="D7" s="87" t="s">
        <v>6</v>
      </c>
      <c r="E7" s="83" t="n">
        <v>24.52</v>
      </c>
      <c r="F7" s="51" t="n">
        <v>552</v>
      </c>
      <c r="G7" s="87" t="s">
        <v>358</v>
      </c>
    </row>
    <row r="8" customFormat="false" ht="15" hidden="false" customHeight="false" outlineLevel="0" collapsed="false">
      <c r="A8" s="8" t="s">
        <v>359</v>
      </c>
      <c r="B8" s="46" t="n">
        <v>571</v>
      </c>
      <c r="C8" s="86" t="n">
        <v>0.09</v>
      </c>
      <c r="D8" s="87" t="s">
        <v>6</v>
      </c>
      <c r="E8" s="83" t="n">
        <v>19.03</v>
      </c>
      <c r="F8" s="51" t="n">
        <v>1467</v>
      </c>
      <c r="G8" s="87" t="s">
        <v>360</v>
      </c>
    </row>
    <row r="9" customFormat="false" ht="15" hidden="false" customHeight="false" outlineLevel="0" collapsed="false">
      <c r="A9" s="8" t="s">
        <v>361</v>
      </c>
      <c r="B9" s="46" t="n">
        <v>595</v>
      </c>
      <c r="C9" s="86" t="n">
        <v>-0.03</v>
      </c>
      <c r="D9" s="87" t="s">
        <v>6</v>
      </c>
      <c r="E9" s="83" t="n">
        <v>20.22</v>
      </c>
      <c r="F9" s="51" t="n">
        <v>656</v>
      </c>
      <c r="G9" s="87" t="s">
        <v>362</v>
      </c>
    </row>
    <row r="10" customFormat="false" ht="15" hidden="false" customHeight="false" outlineLevel="0" collapsed="false">
      <c r="A10" s="8" t="s">
        <v>363</v>
      </c>
      <c r="B10" s="46" t="n">
        <v>736</v>
      </c>
      <c r="C10" s="86" t="n">
        <v>0.17</v>
      </c>
      <c r="D10" s="87" t="s">
        <v>6</v>
      </c>
      <c r="E10" s="83" t="n">
        <v>20.61</v>
      </c>
      <c r="F10" s="51" t="n">
        <v>1593</v>
      </c>
      <c r="G10" s="87" t="s">
        <v>364</v>
      </c>
    </row>
    <row r="11" customFormat="false" ht="15" hidden="false" customHeight="false" outlineLevel="0" collapsed="false">
      <c r="A11" s="8" t="s">
        <v>365</v>
      </c>
      <c r="B11" s="46" t="n">
        <v>520</v>
      </c>
      <c r="C11" s="86" t="n">
        <v>0.06</v>
      </c>
      <c r="D11" s="87" t="s">
        <v>6</v>
      </c>
      <c r="E11" s="83" t="n">
        <v>18.81</v>
      </c>
      <c r="F11" s="51" t="n">
        <v>997</v>
      </c>
      <c r="G11" s="87" t="s">
        <v>366</v>
      </c>
    </row>
    <row r="13" customFormat="false" ht="15" hidden="false" customHeight="false" outlineLevel="0" collapsed="false">
      <c r="A13" s="41" t="s">
        <v>367</v>
      </c>
    </row>
    <row r="14" customFormat="false" ht="15" hidden="false" customHeight="false" outlineLevel="0" collapsed="false">
      <c r="A14" s="8" t="s">
        <v>368</v>
      </c>
      <c r="C14" s="20" t="s">
        <v>369</v>
      </c>
    </row>
    <row r="15" customFormat="false" ht="15" hidden="false" customHeight="false" outlineLevel="0" collapsed="false">
      <c r="A15" s="8" t="s">
        <v>370</v>
      </c>
      <c r="C15" s="20" t="s">
        <v>371</v>
      </c>
    </row>
    <row r="17" customFormat="false" ht="15" hidden="false" customHeight="false" outlineLevel="0" collapsed="false">
      <c r="A17" s="41" t="s">
        <v>372</v>
      </c>
    </row>
    <row r="18" customFormat="false" ht="15" hidden="false" customHeight="false" outlineLevel="0" collapsed="false">
      <c r="B18" s="40" t="s">
        <v>373</v>
      </c>
      <c r="C18" s="40" t="s">
        <v>374</v>
      </c>
      <c r="D18" s="40" t="s">
        <v>375</v>
      </c>
      <c r="E18" s="40" t="s">
        <v>376</v>
      </c>
      <c r="F18" s="40" t="s">
        <v>377</v>
      </c>
    </row>
    <row r="19" customFormat="false" ht="15" hidden="false" customHeight="false" outlineLevel="0" collapsed="false">
      <c r="A19" s="40" t="s">
        <v>373</v>
      </c>
      <c r="B19" s="46" t="n">
        <v>221</v>
      </c>
      <c r="C19" s="46" t="n">
        <v>286</v>
      </c>
      <c r="D19" s="46" t="n">
        <v>370</v>
      </c>
      <c r="E19" s="46" t="n">
        <v>479</v>
      </c>
      <c r="F19" s="46" t="n">
        <v>617</v>
      </c>
    </row>
    <row r="20" customFormat="false" ht="15" hidden="false" customHeight="false" outlineLevel="0" collapsed="false">
      <c r="A20" s="40" t="s">
        <v>374</v>
      </c>
      <c r="B20" s="46" t="n">
        <v>356</v>
      </c>
      <c r="C20" s="46" t="n">
        <v>450</v>
      </c>
      <c r="D20" s="46" t="n">
        <v>571</v>
      </c>
      <c r="E20" s="46" t="n">
        <v>725</v>
      </c>
      <c r="F20" s="46" t="n">
        <v>918</v>
      </c>
    </row>
    <row r="21" customFormat="false" ht="15" hidden="false" customHeight="false" outlineLevel="0" collapsed="false">
      <c r="A21" s="40" t="s">
        <v>375</v>
      </c>
      <c r="B21" s="46" t="n">
        <v>491</v>
      </c>
      <c r="C21" s="46" t="n">
        <v>615</v>
      </c>
      <c r="D21" s="46" t="n">
        <v>772</v>
      </c>
      <c r="E21" s="46" t="n">
        <v>970</v>
      </c>
      <c r="F21" s="46" t="n">
        <v>1218</v>
      </c>
    </row>
    <row r="22" customFormat="false" ht="15" hidden="false" customHeight="false" outlineLevel="0" collapsed="false">
      <c r="A22" s="40" t="s">
        <v>376</v>
      </c>
      <c r="B22" s="46" t="n">
        <v>626</v>
      </c>
      <c r="C22" s="46" t="n">
        <v>779</v>
      </c>
      <c r="D22" s="46" t="n">
        <v>973</v>
      </c>
      <c r="E22" s="46" t="n">
        <v>1216</v>
      </c>
      <c r="F22" s="46" t="n">
        <v>1519</v>
      </c>
    </row>
    <row r="23" customFormat="false" ht="15" hidden="false" customHeight="false" outlineLevel="0" collapsed="false">
      <c r="A23" s="40" t="s">
        <v>377</v>
      </c>
      <c r="B23" s="46" t="n">
        <v>761</v>
      </c>
      <c r="C23" s="46" t="n">
        <v>944</v>
      </c>
      <c r="D23" s="46" t="n">
        <v>1174</v>
      </c>
      <c r="E23" s="46" t="n">
        <v>1462</v>
      </c>
      <c r="F23" s="46" t="n">
        <v>1820</v>
      </c>
    </row>
    <row r="25" customFormat="false" ht="15" hidden="false" customHeight="false" outlineLevel="0" collapsed="false">
      <c r="A25" s="8" t="s">
        <v>378</v>
      </c>
    </row>
    <row r="26" customFormat="false" ht="15" hidden="false" customHeight="false" outlineLevel="0" collapsed="false">
      <c r="A26" s="8" t="s">
        <v>379</v>
      </c>
    </row>
  </sheetData>
  <sheetProtection sheet="true" formatColumns="false" formatRows="false"/>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2" min="3" style="0" width="13"/>
  </cols>
  <sheetData>
    <row r="1" customFormat="false" ht="17.35" hidden="false" customHeight="false" outlineLevel="0" collapsed="false">
      <c r="A1" s="1" t="s">
        <v>380</v>
      </c>
    </row>
    <row r="2" customFormat="false" ht="15" hidden="false" customHeight="false" outlineLevel="0" collapsed="false">
      <c r="A2" s="2" t="s">
        <v>107</v>
      </c>
    </row>
    <row r="4" customFormat="false" ht="15" hidden="false" customHeight="false" outlineLevel="0" collapsed="false">
      <c r="A4" s="5" t="s">
        <v>108</v>
      </c>
      <c r="B4" s="27" t="s">
        <v>109</v>
      </c>
      <c r="C4" s="27" t="s">
        <v>110</v>
      </c>
      <c r="D4" s="27" t="s">
        <v>111</v>
      </c>
      <c r="E4" s="27" t="s">
        <v>62</v>
      </c>
      <c r="F4" s="27" t="s">
        <v>66</v>
      </c>
      <c r="G4" s="27" t="s">
        <v>112</v>
      </c>
      <c r="H4" s="27" t="s">
        <v>113</v>
      </c>
      <c r="I4" s="27" t="s">
        <v>114</v>
      </c>
      <c r="J4" s="27" t="s">
        <v>64</v>
      </c>
      <c r="K4" s="27" t="s">
        <v>5</v>
      </c>
      <c r="L4" s="27" t="s">
        <v>6</v>
      </c>
      <c r="M4" s="27" t="s">
        <v>7</v>
      </c>
      <c r="N4" s="27" t="s">
        <v>69</v>
      </c>
      <c r="O4" s="27" t="s">
        <v>115</v>
      </c>
      <c r="P4" s="27" t="s">
        <v>116</v>
      </c>
      <c r="Q4" s="27" t="s">
        <v>117</v>
      </c>
      <c r="R4" s="27" t="s">
        <v>118</v>
      </c>
      <c r="S4" s="27" t="s">
        <v>119</v>
      </c>
      <c r="T4" s="27" t="s">
        <v>55</v>
      </c>
      <c r="U4" s="27" t="s">
        <v>57</v>
      </c>
    </row>
    <row r="5" customFormat="false" ht="15" hidden="false" customHeight="false" outlineLevel="0" collapsed="false">
      <c r="A5" s="28" t="s">
        <v>381</v>
      </c>
      <c r="B5" s="29"/>
      <c r="C5" s="29"/>
      <c r="D5" s="29"/>
      <c r="E5" s="29"/>
      <c r="F5" s="29"/>
      <c r="G5" s="29"/>
      <c r="H5" s="29"/>
      <c r="I5" s="29"/>
      <c r="J5" s="29"/>
      <c r="K5" s="29"/>
      <c r="L5" s="29"/>
      <c r="M5" s="29"/>
      <c r="N5" s="29"/>
      <c r="O5" s="29"/>
      <c r="P5" s="29"/>
      <c r="Q5" s="29"/>
      <c r="R5" s="29"/>
      <c r="S5" s="29"/>
      <c r="T5" s="29"/>
      <c r="U5" s="29"/>
    </row>
    <row r="6" customFormat="false" ht="15" hidden="false" customHeight="false" outlineLevel="0" collapsed="false">
      <c r="A6" s="8" t="s">
        <v>382</v>
      </c>
      <c r="B6" s="88" t="n">
        <f aca="false">('Balance Sheet'!B13-'Balance Sheet'!B22)</f>
        <v>0</v>
      </c>
      <c r="C6" s="88" t="n">
        <f aca="false">('Balance Sheet'!C13-'Balance Sheet'!C22)</f>
        <v>0</v>
      </c>
      <c r="D6" s="88" t="n">
        <f aca="false">('Balance Sheet'!D13-'Balance Sheet'!D22)</f>
        <v>0</v>
      </c>
      <c r="E6" s="88" t="n">
        <f aca="false">('Balance Sheet'!E13-'Balance Sheet'!E22)</f>
        <v>0</v>
      </c>
      <c r="F6" s="88" t="n">
        <f aca="false">('Balance Sheet'!F13-'Balance Sheet'!F22)</f>
        <v>0</v>
      </c>
      <c r="G6" s="88" t="n">
        <f aca="false">('Balance Sheet'!G13-'Balance Sheet'!G22)</f>
        <v>0</v>
      </c>
      <c r="H6" s="88" t="n">
        <f aca="false">('Balance Sheet'!H13-'Balance Sheet'!H22)</f>
        <v>0</v>
      </c>
      <c r="I6" s="88" t="n">
        <f aca="false">('Balance Sheet'!I13-'Balance Sheet'!I22)</f>
        <v>0</v>
      </c>
      <c r="J6" s="88" t="n">
        <f aca="false">('Balance Sheet'!J13-'Balance Sheet'!J22)</f>
        <v>0</v>
      </c>
      <c r="K6" s="88" t="n">
        <f aca="false">('Balance Sheet'!K13-'Balance Sheet'!K22)</f>
        <v>0</v>
      </c>
      <c r="L6" s="88" t="n">
        <f aca="false">('Balance Sheet'!L13-'Balance Sheet'!L22)</f>
        <v>0</v>
      </c>
      <c r="M6" s="88" t="n">
        <f aca="false">('Balance Sheet'!M13-'Balance Sheet'!M22)</f>
        <v>0</v>
      </c>
      <c r="N6" s="88" t="n">
        <f aca="false">('Balance Sheet'!N13-'Balance Sheet'!N22)</f>
        <v>0</v>
      </c>
      <c r="O6" s="88" t="n">
        <f aca="false">('Balance Sheet'!O13-'Balance Sheet'!O22)</f>
        <v>0</v>
      </c>
      <c r="P6" s="88" t="n">
        <f aca="false">('Balance Sheet'!P13-'Balance Sheet'!P22)</f>
        <v>0</v>
      </c>
      <c r="Q6" s="88" t="n">
        <f aca="false">('Balance Sheet'!Q13-'Balance Sheet'!Q22)</f>
        <v>0</v>
      </c>
      <c r="R6" s="88" t="n">
        <f aca="false">('Balance Sheet'!R13-'Balance Sheet'!R22)</f>
        <v>0</v>
      </c>
      <c r="S6" s="88" t="n">
        <f aca="false">('Balance Sheet'!S13-'Balance Sheet'!S22)</f>
        <v>0</v>
      </c>
      <c r="T6" s="88" t="n">
        <f aca="false">('Balance Sheet'!T13-'Balance Sheet'!T22)</f>
        <v>-2.25554686039686E-010</v>
      </c>
      <c r="U6" s="88" t="n">
        <f aca="false">('Balance Sheet'!U13-'Balance Sheet'!U22)</f>
        <v>-4.58385329693556E-010</v>
      </c>
    </row>
    <row r="7" customFormat="false" ht="15" hidden="false" customHeight="false" outlineLevel="0" collapsed="false">
      <c r="A7" s="8" t="s">
        <v>383</v>
      </c>
      <c r="B7" s="88" t="n">
        <f aca="false">('Balance Sheet'!B6-'Cash Flow'!B23)</f>
        <v>906.06</v>
      </c>
      <c r="C7" s="88" t="n">
        <f aca="false">('Balance Sheet'!C6-'Cash Flow'!C23)</f>
        <v>-1.08000000000025</v>
      </c>
      <c r="D7" s="88" t="n">
        <f aca="false">('Balance Sheet'!D6-'Cash Flow'!D23)</f>
        <v>-2.61999999999987</v>
      </c>
      <c r="E7" s="88" t="n">
        <f aca="false">('Balance Sheet'!E6-'Cash Flow'!E23)</f>
        <v>653.96</v>
      </c>
      <c r="F7" s="88" t="n">
        <f aca="false">('Balance Sheet'!F6-'Cash Flow'!F23)</f>
        <v>92.7599999999994</v>
      </c>
      <c r="G7" s="88" t="n">
        <f aca="false">('Balance Sheet'!G6-'Cash Flow'!G23)</f>
        <v>5.58000000000038</v>
      </c>
      <c r="H7" s="88" t="n">
        <f aca="false">('Balance Sheet'!H6-'Cash Flow'!H23)</f>
        <v>-134.930000000001</v>
      </c>
      <c r="I7" s="88" t="n">
        <f aca="false">('Balance Sheet'!I6-'Cash Flow'!I23)</f>
        <v>99.2100000000007</v>
      </c>
      <c r="J7" s="88" t="n">
        <f aca="false">('Balance Sheet'!J6-'Cash Flow'!J23)</f>
        <v>25.0300000000007</v>
      </c>
      <c r="K7" s="88" t="n">
        <f aca="false">('Balance Sheet'!K6-'Cash Flow'!K23)</f>
        <v>-54.5100000000022</v>
      </c>
      <c r="L7" s="88" t="n">
        <f aca="false">('Balance Sheet'!L6-'Cash Flow'!L23)</f>
        <v>0</v>
      </c>
      <c r="M7" s="88" t="n">
        <f aca="false">('Balance Sheet'!M6-'Cash Flow'!M23)</f>
        <v>0</v>
      </c>
      <c r="N7" s="88" t="n">
        <f aca="false">('Balance Sheet'!N6-'Cash Flow'!N23)</f>
        <v>0</v>
      </c>
      <c r="O7" s="88" t="n">
        <f aca="false">('Balance Sheet'!O6-'Cash Flow'!O23)</f>
        <v>0</v>
      </c>
      <c r="P7" s="88" t="n">
        <f aca="false">('Balance Sheet'!P6-'Cash Flow'!P23)</f>
        <v>0</v>
      </c>
      <c r="Q7" s="88" t="n">
        <f aca="false">('Balance Sheet'!Q6-'Cash Flow'!Q23)</f>
        <v>0</v>
      </c>
      <c r="R7" s="88" t="n">
        <f aca="false">('Balance Sheet'!R6-'Cash Flow'!R23)</f>
        <v>0</v>
      </c>
      <c r="S7" s="88" t="n">
        <f aca="false">('Balance Sheet'!S6-'Cash Flow'!S23)</f>
        <v>0</v>
      </c>
      <c r="T7" s="88" t="n">
        <f aca="false">('Balance Sheet'!T6-'Cash Flow'!T23)</f>
        <v>0</v>
      </c>
      <c r="U7" s="88" t="n">
        <f aca="false">('Balance Sheet'!U6-'Cash Flow'!U23)</f>
        <v>0</v>
      </c>
    </row>
    <row r="8" customFormat="false" ht="15" hidden="false" customHeight="false" outlineLevel="0" collapsed="false">
      <c r="A8" s="8" t="s">
        <v>384</v>
      </c>
      <c r="B8" s="88" t="n">
        <f aca="false">('Balance Sheet'!B16-(((0+'Income Statement'!B18)-Schedules!B22)+Drivers!B27))</f>
        <v>1462.83</v>
      </c>
      <c r="C8" s="88" t="n">
        <f aca="false">('Balance Sheet'!C16-((('Balance Sheet'!B16+'Income Statement'!C18)-Schedules!C22)+Drivers!C27))</f>
        <v>-1.07999999999993</v>
      </c>
      <c r="D8" s="88" t="n">
        <f aca="false">('Balance Sheet'!D16-((('Balance Sheet'!C16+'Income Statement'!D18)-Schedules!D22)+Drivers!D27))</f>
        <v>-2.62000000000012</v>
      </c>
      <c r="E8" s="88" t="n">
        <f aca="false">('Balance Sheet'!E16-((('Balance Sheet'!D16+'Income Statement'!E18)-Schedules!E22)+Drivers!E27))</f>
        <v>651.64</v>
      </c>
      <c r="F8" s="88" t="n">
        <f aca="false">('Balance Sheet'!F16-((('Balance Sheet'!E16+'Income Statement'!F18)-Schedules!F22)+Drivers!F27))</f>
        <v>92.7600000000002</v>
      </c>
      <c r="G8" s="88" t="n">
        <f aca="false">('Balance Sheet'!G16-((('Balance Sheet'!F16+'Income Statement'!G18)-Schedules!G22)+Drivers!G27))</f>
        <v>5.57999999999993</v>
      </c>
      <c r="H8" s="88" t="n">
        <f aca="false">('Balance Sheet'!H16-((('Balance Sheet'!G16+'Income Statement'!H18)-Schedules!H22)+Drivers!H27))</f>
        <v>-134.93</v>
      </c>
      <c r="I8" s="88" t="n">
        <f aca="false">('Balance Sheet'!I16-((('Balance Sheet'!H16+'Income Statement'!I18)-Schedules!I22)+Drivers!I27))</f>
        <v>99.2100000000005</v>
      </c>
      <c r="J8" s="88" t="n">
        <f aca="false">('Balance Sheet'!J16-((('Balance Sheet'!I16+'Income Statement'!J18)-Schedules!J22)+Drivers!J27))</f>
        <v>25.0299999999997</v>
      </c>
      <c r="K8" s="88" t="n">
        <f aca="false">('Balance Sheet'!K16-((('Balance Sheet'!J16+'Income Statement'!K18)-Schedules!K22)+Drivers!K27))</f>
        <v>-54.5100000000002</v>
      </c>
      <c r="L8" s="88" t="n">
        <f aca="false">('Balance Sheet'!L16-((('Balance Sheet'!K16+'Income Statement'!L18)-Schedules!L22)+Drivers!L27))</f>
        <v>0</v>
      </c>
      <c r="M8" s="88" t="n">
        <f aca="false">('Balance Sheet'!M16-((('Balance Sheet'!L16+'Income Statement'!M18)-Schedules!M22)+Drivers!M27))</f>
        <v>0</v>
      </c>
      <c r="N8" s="88" t="n">
        <f aca="false">('Balance Sheet'!N16-((('Balance Sheet'!M16+'Income Statement'!N18)-Schedules!N22)+Drivers!N27))</f>
        <v>0</v>
      </c>
      <c r="O8" s="88" t="n">
        <f aca="false">('Balance Sheet'!O16-((('Balance Sheet'!N16+'Income Statement'!O18)-Schedules!O22)+Drivers!O27))</f>
        <v>0</v>
      </c>
      <c r="P8" s="88" t="n">
        <f aca="false">('Balance Sheet'!P16-((('Balance Sheet'!O16+'Income Statement'!P18)-Schedules!P22)+Drivers!P27))</f>
        <v>0</v>
      </c>
      <c r="Q8" s="88" t="n">
        <f aca="false">('Balance Sheet'!Q16-((('Balance Sheet'!P16+'Income Statement'!Q18)-Schedules!Q22)+Drivers!Q27))</f>
        <v>0</v>
      </c>
      <c r="R8" s="88" t="n">
        <f aca="false">('Balance Sheet'!R16-((('Balance Sheet'!Q16+'Income Statement'!R18)-Schedules!R22)+Drivers!R27))</f>
        <v>0</v>
      </c>
      <c r="S8" s="88" t="n">
        <f aca="false">('Balance Sheet'!S16-((('Balance Sheet'!R16+'Income Statement'!S18)-Schedules!S22)+Drivers!S27))</f>
        <v>0</v>
      </c>
      <c r="T8" s="88" t="n">
        <f aca="false">('Balance Sheet'!T16-((('Balance Sheet'!S16+'Income Statement'!T18)-Schedules!T22)+Drivers!T27))</f>
        <v>0</v>
      </c>
      <c r="U8" s="88" t="n">
        <f aca="false">('Balance Sheet'!U16-((('Balance Sheet'!T16+'Income Statement'!U18)-Schedules!U22)+Drivers!U27))</f>
        <v>0</v>
      </c>
    </row>
    <row r="9" customFormat="false" ht="15" hidden="false" customHeight="false" outlineLevel="0" collapsed="false">
      <c r="A9" s="8" t="s">
        <v>385</v>
      </c>
      <c r="B9" s="88" t="n">
        <f aca="false">('Balance Sheet'!B10-Schedules!B9)</f>
        <v>590</v>
      </c>
      <c r="C9" s="88" t="n">
        <f aca="false">('Balance Sheet'!C10-Schedules!C9)</f>
        <v>0</v>
      </c>
      <c r="D9" s="88" t="n">
        <f aca="false">('Balance Sheet'!D10-Schedules!D9)</f>
        <v>0</v>
      </c>
      <c r="E9" s="88" t="n">
        <f aca="false">('Balance Sheet'!E10-Schedules!E9)</f>
        <v>0</v>
      </c>
      <c r="F9" s="88" t="n">
        <f aca="false">('Balance Sheet'!F10-Schedules!F9)</f>
        <v>0</v>
      </c>
      <c r="G9" s="88" t="n">
        <f aca="false">('Balance Sheet'!G10-Schedules!G9)</f>
        <v>0</v>
      </c>
      <c r="H9" s="88" t="n">
        <f aca="false">('Balance Sheet'!H10-Schedules!H9)</f>
        <v>0</v>
      </c>
      <c r="I9" s="88" t="n">
        <f aca="false">('Balance Sheet'!I10-Schedules!I9)</f>
        <v>0</v>
      </c>
      <c r="J9" s="88" t="n">
        <f aca="false">('Balance Sheet'!J10-Schedules!J9)</f>
        <v>0</v>
      </c>
      <c r="K9" s="88" t="n">
        <f aca="false">('Balance Sheet'!K10-Schedules!K9)</f>
        <v>0</v>
      </c>
      <c r="L9" s="88" t="n">
        <f aca="false">('Balance Sheet'!L10-Schedules!L9)</f>
        <v>0</v>
      </c>
      <c r="M9" s="88" t="n">
        <f aca="false">('Balance Sheet'!M10-Schedules!M9)</f>
        <v>0</v>
      </c>
      <c r="N9" s="88" t="n">
        <f aca="false">('Balance Sheet'!N10-Schedules!N9)</f>
        <v>0</v>
      </c>
      <c r="O9" s="88" t="n">
        <f aca="false">('Balance Sheet'!O10-Schedules!O9)</f>
        <v>0</v>
      </c>
      <c r="P9" s="88" t="n">
        <f aca="false">('Balance Sheet'!P10-Schedules!P9)</f>
        <v>0</v>
      </c>
      <c r="Q9" s="88" t="n">
        <f aca="false">('Balance Sheet'!Q10-Schedules!Q9)</f>
        <v>0</v>
      </c>
      <c r="R9" s="88" t="n">
        <f aca="false">('Balance Sheet'!R10-Schedules!R9)</f>
        <v>0</v>
      </c>
      <c r="S9" s="88" t="n">
        <f aca="false">('Balance Sheet'!S10-Schedules!S9)</f>
        <v>0</v>
      </c>
      <c r="T9" s="88" t="n">
        <f aca="false">('Balance Sheet'!T10-Schedules!T9)</f>
        <v>0</v>
      </c>
      <c r="U9" s="88" t="n">
        <f aca="false">('Balance Sheet'!U10-Schedules!U9)</f>
        <v>0</v>
      </c>
    </row>
    <row r="10" customFormat="false" ht="15" hidden="false" customHeight="false" outlineLevel="0" collapsed="false">
      <c r="A10" s="28" t="s">
        <v>386</v>
      </c>
      <c r="B10" s="29"/>
      <c r="C10" s="29"/>
      <c r="D10" s="29"/>
      <c r="E10" s="29"/>
      <c r="F10" s="29"/>
      <c r="G10" s="29"/>
      <c r="H10" s="29"/>
      <c r="I10" s="29"/>
      <c r="J10" s="29"/>
      <c r="K10" s="29"/>
      <c r="L10" s="29"/>
      <c r="M10" s="29"/>
      <c r="N10" s="29"/>
      <c r="O10" s="29"/>
      <c r="P10" s="29"/>
      <c r="Q10" s="29"/>
      <c r="R10" s="29"/>
      <c r="S10" s="29"/>
      <c r="T10" s="29"/>
      <c r="U10" s="29"/>
    </row>
    <row r="11" customFormat="false" ht="15" hidden="false" customHeight="false" outlineLevel="0" collapsed="false">
      <c r="A11" s="8" t="s">
        <v>387</v>
      </c>
      <c r="B11" s="88" t="n">
        <f aca="false">('Balance Sheet'!B6-Drivers!B29)</f>
        <v>34.28</v>
      </c>
      <c r="C11" s="88" t="n">
        <f aca="false">('Balance Sheet'!C6-Drivers!C29)</f>
        <v>32.81</v>
      </c>
      <c r="D11" s="88" t="n">
        <f aca="false">('Balance Sheet'!D6-Drivers!D29)</f>
        <v>54.23</v>
      </c>
      <c r="E11" s="88" t="n">
        <f aca="false">('Balance Sheet'!E6-Drivers!E29)</f>
        <v>61.41</v>
      </c>
      <c r="F11" s="88" t="n">
        <f aca="false">('Balance Sheet'!F6-Drivers!F29)</f>
        <v>81.47</v>
      </c>
      <c r="G11" s="88" t="n">
        <f aca="false">('Balance Sheet'!G6-Drivers!G29)</f>
        <v>85.97</v>
      </c>
      <c r="H11" s="88" t="n">
        <f aca="false">('Balance Sheet'!H6-Drivers!H29)</f>
        <v>86.3</v>
      </c>
      <c r="I11" s="88" t="n">
        <f aca="false">('Balance Sheet'!I6-Drivers!I29)</f>
        <v>297.56</v>
      </c>
      <c r="J11" s="88" t="n">
        <f aca="false">('Balance Sheet'!J6-Drivers!J29)</f>
        <v>339.84</v>
      </c>
      <c r="K11" s="88" t="n">
        <f aca="false">('Balance Sheet'!K6-Drivers!K29)</f>
        <v>283</v>
      </c>
      <c r="L11" s="88" t="n">
        <f aca="false">('Balance Sheet'!L6-Drivers!L29)</f>
        <v>1.08116182673257E-010</v>
      </c>
      <c r="M11" s="88" t="n">
        <f aca="false">('Balance Sheet'!M6-Drivers!M29)</f>
        <v>5.32850208401214E-010</v>
      </c>
      <c r="N11" s="88" t="n">
        <f aca="false">('Balance Sheet'!N6-Drivers!N29)</f>
        <v>719.379036768582</v>
      </c>
      <c r="O11" s="88" t="n">
        <f aca="false">('Balance Sheet'!O6-Drivers!O29)</f>
        <v>2884.08083404735</v>
      </c>
      <c r="P11" s="88" t="n">
        <f aca="false">('Balance Sheet'!P6-Drivers!P29)</f>
        <v>5741.15417125325</v>
      </c>
      <c r="Q11" s="88" t="n">
        <f aca="false">('Balance Sheet'!Q6-Drivers!Q29)</f>
        <v>9412.70592847141</v>
      </c>
      <c r="R11" s="88" t="n">
        <f aca="false">('Balance Sheet'!R6-Drivers!R29)</f>
        <v>13901.3859979948</v>
      </c>
      <c r="S11" s="88" t="n">
        <f aca="false">('Balance Sheet'!S6-Drivers!S29)</f>
        <v>19317.0663165636</v>
      </c>
      <c r="T11" s="88" t="n">
        <f aca="false">('Balance Sheet'!T6-Drivers!T29)</f>
        <v>25682.023031613</v>
      </c>
      <c r="U11" s="88" t="n">
        <f aca="false">('Balance Sheet'!U6-Drivers!U29)</f>
        <v>33106.4745487931</v>
      </c>
    </row>
    <row r="12" customFormat="false" ht="15" hidden="false" customHeight="false" outlineLevel="0" collapsed="false">
      <c r="A12" s="8" t="s">
        <v>388</v>
      </c>
      <c r="B12" s="88" t="n">
        <f aca="false">'Balance Sheet'!B18</f>
        <v>0</v>
      </c>
      <c r="C12" s="88" t="n">
        <f aca="false">'Balance Sheet'!C18</f>
        <v>0</v>
      </c>
      <c r="D12" s="88" t="n">
        <f aca="false">'Balance Sheet'!D18</f>
        <v>0</v>
      </c>
      <c r="E12" s="88" t="n">
        <f aca="false">'Balance Sheet'!E18</f>
        <v>0</v>
      </c>
      <c r="F12" s="88" t="n">
        <f aca="false">'Balance Sheet'!F18</f>
        <v>0</v>
      </c>
      <c r="G12" s="88" t="n">
        <f aca="false">'Balance Sheet'!G18</f>
        <v>0</v>
      </c>
      <c r="H12" s="88" t="n">
        <f aca="false">'Balance Sheet'!H18</f>
        <v>0</v>
      </c>
      <c r="I12" s="88" t="n">
        <f aca="false">'Balance Sheet'!I18</f>
        <v>0</v>
      </c>
      <c r="J12" s="88" t="n">
        <f aca="false">'Balance Sheet'!J18</f>
        <v>0</v>
      </c>
      <c r="K12" s="88" t="n">
        <f aca="false">'Balance Sheet'!K18</f>
        <v>0</v>
      </c>
      <c r="L12" s="88" t="n">
        <f aca="false">'Balance Sheet'!L18</f>
        <v>623.665322033737</v>
      </c>
      <c r="M12" s="88" t="n">
        <f aca="false">'Balance Sheet'!M18</f>
        <v>310.575671570379</v>
      </c>
      <c r="N12" s="88" t="n">
        <f aca="false">'Balance Sheet'!N18</f>
        <v>0</v>
      </c>
      <c r="O12" s="88" t="n">
        <f aca="false">'Balance Sheet'!O18</f>
        <v>0</v>
      </c>
      <c r="P12" s="88" t="n">
        <f aca="false">'Balance Sheet'!P18</f>
        <v>0</v>
      </c>
      <c r="Q12" s="88" t="n">
        <f aca="false">'Balance Sheet'!Q18</f>
        <v>0</v>
      </c>
      <c r="R12" s="88" t="n">
        <f aca="false">'Balance Sheet'!R18</f>
        <v>0</v>
      </c>
      <c r="S12" s="88" t="n">
        <f aca="false">'Balance Sheet'!S18</f>
        <v>0</v>
      </c>
      <c r="T12" s="88" t="n">
        <f aca="false">'Balance Sheet'!T18</f>
        <v>0</v>
      </c>
      <c r="U12" s="88" t="n">
        <f aca="false">'Balance Sheet'!U18</f>
        <v>0</v>
      </c>
    </row>
    <row r="13" customFormat="false" ht="15" hidden="false" customHeight="false" outlineLevel="0" collapsed="false">
      <c r="A13" s="8" t="s">
        <v>389</v>
      </c>
      <c r="B13" s="88" t="n">
        <f aca="false">'Balance Sheet'!B10</f>
        <v>548.71</v>
      </c>
      <c r="C13" s="88" t="n">
        <f aca="false">'Balance Sheet'!C10</f>
        <v>612.53</v>
      </c>
      <c r="D13" s="88" t="n">
        <f aca="false">'Balance Sheet'!D10</f>
        <v>662.18</v>
      </c>
      <c r="E13" s="88" t="n">
        <f aca="false">'Balance Sheet'!E10</f>
        <v>2738.43</v>
      </c>
      <c r="F13" s="88" t="n">
        <f aca="false">'Balance Sheet'!F10</f>
        <v>3053.82</v>
      </c>
      <c r="G13" s="88" t="n">
        <f aca="false">'Balance Sheet'!G10</f>
        <v>4686.71</v>
      </c>
      <c r="H13" s="88" t="n">
        <f aca="false">'Balance Sheet'!H10</f>
        <v>4526.95</v>
      </c>
      <c r="I13" s="88" t="n">
        <f aca="false">'Balance Sheet'!I10</f>
        <v>2449.92</v>
      </c>
      <c r="J13" s="88" t="n">
        <f aca="false">'Balance Sheet'!J10</f>
        <v>3895.13</v>
      </c>
      <c r="K13" s="88" t="n">
        <f aca="false">'Balance Sheet'!K10</f>
        <v>5518.74</v>
      </c>
      <c r="L13" s="88" t="n">
        <f aca="false">'Balance Sheet'!L10</f>
        <v>6773.03529160632</v>
      </c>
      <c r="M13" s="88" t="n">
        <f aca="false">'Balance Sheet'!M10</f>
        <v>7924.82334249835</v>
      </c>
      <c r="N13" s="88" t="n">
        <f aca="false">'Balance Sheet'!N10</f>
        <v>9004.04381591781</v>
      </c>
      <c r="O13" s="88" t="n">
        <f aca="false">'Balance Sheet'!O10</f>
        <v>9964.91862282484</v>
      </c>
      <c r="P13" s="88" t="n">
        <f aca="false">'Balance Sheet'!P10</f>
        <v>10837.5042963124</v>
      </c>
      <c r="Q13" s="88" t="n">
        <f aca="false">'Balance Sheet'!Q10</f>
        <v>11589.4001357303</v>
      </c>
      <c r="R13" s="88" t="n">
        <f aca="false">'Balance Sheet'!R10</f>
        <v>12304.3618821929</v>
      </c>
      <c r="S13" s="88" t="n">
        <f aca="false">'Balance Sheet'!S10</f>
        <v>12939.5446328341</v>
      </c>
      <c r="T13" s="88" t="n">
        <f aca="false">'Balance Sheet'!T10</f>
        <v>13546.8601670909</v>
      </c>
      <c r="U13" s="88" t="n">
        <f aca="false">'Balance Sheet'!U10</f>
        <v>14112.3063931457</v>
      </c>
    </row>
    <row r="14" customFormat="false" ht="15" hidden="false" customHeight="false" outlineLevel="0" collapsed="false">
      <c r="A14" s="8" t="s">
        <v>250</v>
      </c>
      <c r="B14" s="88" t="n">
        <f aca="false">Schedules!B24</f>
        <v>1547.69</v>
      </c>
      <c r="C14" s="88" t="n">
        <f aca="false">Schedules!C24</f>
        <v>1595.37</v>
      </c>
      <c r="D14" s="88" t="n">
        <f aca="false">Schedules!D24</f>
        <v>1646.51</v>
      </c>
      <c r="E14" s="88" t="n">
        <f aca="false">Schedules!E24</f>
        <v>2387.77</v>
      </c>
      <c r="F14" s="88" t="n">
        <f aca="false">Schedules!F24</f>
        <v>2313.03</v>
      </c>
      <c r="G14" s="88" t="n">
        <f aca="false">Schedules!G24</f>
        <v>2364</v>
      </c>
      <c r="H14" s="88" t="n">
        <f aca="false">Schedules!H24</f>
        <v>2595.49</v>
      </c>
      <c r="I14" s="88" t="n">
        <f aca="false">Schedules!I24</f>
        <v>4067.74</v>
      </c>
      <c r="J14" s="88" t="n">
        <f aca="false">Schedules!J24</f>
        <v>5461.74</v>
      </c>
      <c r="K14" s="88" t="n">
        <f aca="false">Schedules!K24</f>
        <v>6984.68</v>
      </c>
      <c r="L14" s="88" t="n">
        <f aca="false">Schedules!L24</f>
        <v>9098.46498585148</v>
      </c>
      <c r="M14" s="88" t="n">
        <f aca="false">Schedules!M24</f>
        <v>11610.048994307</v>
      </c>
      <c r="N14" s="88" t="n">
        <f aca="false">Schedules!N24</f>
        <v>14619.7910990413</v>
      </c>
      <c r="O14" s="88" t="n">
        <f aca="false">Schedules!O24</f>
        <v>18168.4025864225</v>
      </c>
      <c r="P14" s="88" t="n">
        <f aca="false">Schedules!P24</f>
        <v>22350.8857641089</v>
      </c>
      <c r="Q14" s="88" t="n">
        <f aca="false">Schedules!Q24</f>
        <v>27240.9308516791</v>
      </c>
      <c r="R14" s="88" t="n">
        <f aca="false">Schedules!R24</f>
        <v>32930.7951278737</v>
      </c>
      <c r="S14" s="88" t="n">
        <f aca="false">Schedules!S24</f>
        <v>39468.4702924212</v>
      </c>
      <c r="T14" s="88" t="n">
        <f aca="false">Schedules!T24</f>
        <v>46953.5062722781</v>
      </c>
      <c r="U14" s="88" t="n">
        <f aca="false">Schedules!U24</f>
        <v>55489.2507288101</v>
      </c>
    </row>
  </sheetData>
  <sheetProtection sheet="true" formatColumns="false" formatRows="false"/>
  <conditionalFormatting sqref="C5:V14">
    <cfRule type="cellIs" priority="2" operator="notBetween" aboveAverage="0" equalAverage="0" bottom="0" percent="0" rank="0" text="" dxfId="0">
      <formula>-0.01</formula>
      <formula>0.01</formula>
    </cfRule>
  </conditionalFormatting>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2026-10-15T05:10:30Z</dcterms:created>
  <dc:creator>openpyxl</dc:creator>
  <dc:description/>
  <dc:language>en-US</dc:language>
  <cp:lastModifiedBy/>
  <dcterms:modified xsi:type="dcterms:W3CDTF">2026-10-14T22:12:40Z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